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n Lowe" sheetId="2" state="visible" r:id="rId2"/>
    <sheet xmlns:r="http://schemas.openxmlformats.org/officeDocument/2006/relationships" name="Priya Menon" sheetId="3" state="visible" r:id="rId3"/>
    <sheet xmlns:r="http://schemas.openxmlformats.org/officeDocument/2006/relationships" name="Sara Moss" sheetId="4" state="visible" r:id="rId4"/>
    <sheet xmlns:r="http://schemas.openxmlformats.org/officeDocument/2006/relationships" name="Tom Reid" sheetId="5" state="visible" r:id="rId5"/>
    <sheet xmlns:r="http://schemas.openxmlformats.org/officeDocument/2006/relationships" name="Resources &amp; cost" sheetId="6" state="visible" r:id="rId6"/>
    <sheet xmlns:r="http://schemas.openxmlformats.org/officeDocument/2006/relationships" name="All updates" sheetId="7" state="visible" r:id="rId7"/>
    <sheet xmlns:r="http://schemas.openxmlformats.org/officeDocument/2006/relationships" name="Guide" sheetId="8" state="visible" r:id="rId8"/>
    <sheet xmlns:r="http://schemas.openxmlformats.org/officeDocument/2006/relationships" name="Data" sheetId="9" state="hidden" r:id="rId9"/>
    <sheet xmlns:r="http://schemas.openxmlformats.org/officeDocument/2006/relationships" name="Lists" sheetId="10" state="hidden" r:id="rId10"/>
  </sheets>
  <definedNames>
    <definedName name="PersonList">Lists!$A$2:$A$6</definedName>
    <definedName name="ShowList">Lists!$C$2:$C$10</definedName>
    <definedName name="CauseList">Lists!$E$2:$E$13</definedName>
    <definedName name="_xlnm.Print_Area" localSheetId="0">OFFSET(Overview!$A$1,0,0,27+MAX(1,Data!$V$61),18)</definedName>
    <definedName name="_xlnm.Print_Titles" localSheetId="0">'Overview'!$27:$27</definedName>
    <definedName name="_xlnm._FilterDatabase" localSheetId="1" hidden="1">'Dan Lowe'!$A$9:$O$29</definedName>
    <definedName name="_xlnm.Print_Titles" localSheetId="1">'Dan Lowe'!$8:$9</definedName>
    <definedName name="_xlnm.Print_Area" localSheetId="1">'Dan Lowe'!$A$1:$O$29</definedName>
    <definedName name="_xlnm._FilterDatabase" localSheetId="2" hidden="1">'Priya Menon'!$A$9:$O$13</definedName>
    <definedName name="_xlnm.Print_Titles" localSheetId="2">'Priya Menon'!$8:$9</definedName>
    <definedName name="_xlnm.Print_Area" localSheetId="2">'Priya Menon'!$A$1:$O$13</definedName>
    <definedName name="_xlnm._FilterDatabase" localSheetId="3" hidden="1">'Sara Moss'!$A$9:$O$30</definedName>
    <definedName name="_xlnm.Print_Titles" localSheetId="3">'Sara Moss'!$8:$9</definedName>
    <definedName name="_xlnm.Print_Area" localSheetId="3">'Sara Moss'!$A$1:$O$30</definedName>
    <definedName name="_xlnm._FilterDatabase" localSheetId="4" hidden="1">'Tom Reid'!$A$9:$O$29</definedName>
    <definedName name="_xlnm.Print_Titles" localSheetId="4">'Tom Reid'!$8:$9</definedName>
    <definedName name="_xlnm.Print_Area" localSheetId="4">'Tom Reid'!$A$1:$O$29</definedName>
    <definedName name="_xlnm._FilterDatabase" localSheetId="5" hidden="1">'Resources &amp; cost'!$A$9:$P$64</definedName>
    <definedName name="_xlnm.Print_Titles" localSheetId="5">'Resources &amp; cost'!$8:$9</definedName>
    <definedName name="_xlnm.Print_Area" localSheetId="5">'Resources &amp; cost'!$A$1:$P$64</definedName>
    <definedName name="_xlnm._FilterDatabase" localSheetId="6" hidden="1">'All updates'!$A$4:$S$64</definedName>
    <definedName name="_xlnm.Print_Titles" localSheetId="6">'All updates'!$4:$4</definedName>
  </definedNames>
  <calcPr calcId="124519" calcMode="auto" fullCalcOnLoad="1"/>
</workbook>
</file>

<file path=xl/styles.xml><?xml version="1.0" encoding="utf-8"?>
<styleSheet xmlns="http://schemas.openxmlformats.org/spreadsheetml/2006/main">
  <numFmts count="9">
    <numFmt numFmtId="164" formatCode="dd-mmm-yy"/>
    <numFmt numFmtId="165" formatCode="0&quot;%&quot;"/>
    <numFmt numFmtId="166" formatCode="0;-0;&quot;&quot;"/>
    <numFmt numFmtId="167" formatCode="+0;-0;&quot;&quot;"/>
    <numFmt numFmtId="168" formatCode="#,##0.0"/>
    <numFmt numFmtId="169" formatCode="#,##0.0;[Red]-#,##0.0;0.0"/>
    <numFmt numFmtId="170" formatCode="#,##0.00;[Red]-#,##0.00;0.00"/>
    <numFmt numFmtId="171" formatCode="yyyy-mm-dd"/>
    <numFmt numFmtId="172" formatCode="#,##0.0,&quot;k&quot;;[Red]-#,##0.0,&quot;k&quot;;0"/>
  </numFmts>
  <fonts count="27">
    <font>
      <name val="Calibri"/>
      <family val="2"/>
      <color theme="1"/>
      <sz val="11"/>
      <scheme val="minor"/>
    </font>
    <font>
      <color rgb="00262626"/>
    </font>
    <font/>
    <font>
      <i val="1"/>
      <color rgb="0044546A"/>
    </font>
    <font>
      <color rgb="000563C1"/>
    </font>
    <font>
      <b val="1"/>
      <color rgb="00FFFFFF"/>
      <sz val="18"/>
    </font>
    <font>
      <color rgb="00D9E1F2"/>
    </font>
    <font>
      <b val="1"/>
      <color rgb="00C00000"/>
      <sz val="10"/>
    </font>
    <font>
      <color rgb="00262626"/>
      <sz val="9.5"/>
    </font>
    <font>
      <b val="1"/>
      <color rgb="007F7F7F"/>
      <sz val="9"/>
    </font>
    <font>
      <b val="1"/>
      <color rgb="001F3864"/>
      <sz val="20"/>
    </font>
    <font>
      <color rgb="007F7F7F"/>
      <sz val="9"/>
    </font>
    <font>
      <color rgb="00262626"/>
      <sz val="9"/>
    </font>
    <font>
      <color rgb="00006100"/>
      <sz val="9"/>
    </font>
    <font>
      <color rgb="000563C1"/>
      <u val="single"/>
    </font>
    <font>
      <b val="1"/>
      <color rgb="009C0006"/>
      <sz val="9"/>
    </font>
    <font>
      <b val="1"/>
      <color rgb="00C00000"/>
      <sz val="9"/>
    </font>
    <font>
      <b val="1"/>
      <color rgb="00FFFFFF"/>
    </font>
    <font>
      <b val="1"/>
      <color rgb="00FFFFFF"/>
      <sz val="20"/>
    </font>
    <font>
      <b val="1"/>
      <color rgb="001F3864"/>
      <sz val="12"/>
    </font>
    <font>
      <i val="1"/>
      <color rgb="007F7F7F"/>
      <sz val="9"/>
    </font>
    <font>
      <b val="1"/>
      <color rgb="001F3864"/>
      <sz val="13"/>
    </font>
    <font>
      <b val="1"/>
      <color rgb="001F3864"/>
    </font>
    <font>
      <color rgb="007F7F7F"/>
    </font>
    <font>
      <b val="1"/>
      <color rgb="001F3864"/>
      <sz val="16"/>
    </font>
    <font>
      <sz val="11"/>
    </font>
    <font>
      <b val="1"/>
      <color rgb="002F5597"/>
      <sz val="12"/>
    </font>
  </fonts>
  <fills count="12">
    <fill>
      <patternFill/>
    </fill>
    <fill>
      <patternFill patternType="gray125"/>
    </fill>
    <fill>
      <patternFill patternType="solid">
        <fgColor rgb="00F2F2F2"/>
        <bgColor rgb="00F2F2F2"/>
      </patternFill>
    </fill>
    <fill>
      <patternFill patternType="solid">
        <fgColor rgb="00FFFFFF"/>
        <bgColor rgb="00FFFFFF"/>
      </patternFill>
    </fill>
    <fill>
      <patternFill patternType="solid">
        <fgColor rgb="00EDF2F9"/>
        <bgColor rgb="00EDF2F9"/>
      </patternFill>
    </fill>
    <fill>
      <patternFill patternType="solid">
        <fgColor rgb="001F3864"/>
        <bgColor rgb="001F3864"/>
      </patternFill>
    </fill>
    <fill>
      <patternFill patternType="solid">
        <fgColor rgb="00FFF8E5"/>
        <bgColor rgb="00FFF8E5"/>
      </patternFill>
    </fill>
    <fill>
      <patternFill patternType="solid">
        <fgColor rgb="00F3F6FB"/>
        <bgColor rgb="00F3F6FB"/>
      </patternFill>
    </fill>
    <fill>
      <patternFill patternType="solid">
        <fgColor rgb="00C6EFCE"/>
        <bgColor rgb="00C6EFCE"/>
      </patternFill>
    </fill>
    <fill>
      <patternFill patternType="solid">
        <fgColor rgb="00FFC7CE"/>
        <bgColor rgb="00FFC7CE"/>
      </patternFill>
    </fill>
    <fill>
      <patternFill patternType="solid">
        <fgColor rgb="00595959"/>
        <bgColor rgb="00595959"/>
      </patternFill>
    </fill>
    <fill>
      <patternFill patternType="solid">
        <fgColor rgb="002F5597"/>
        <bgColor rgb="002F5597"/>
      </patternFill>
    </fill>
  </fills>
  <borders count="41">
    <border>
      <left/>
      <right/>
      <top/>
      <bottom/>
      <diagonal/>
    </border>
    <border/>
    <border>
      <left style="thin">
        <color rgb="008EA9DB"/>
      </left>
      <right style="thin">
        <color rgb="008EA9DB"/>
      </right>
      <top style="thin">
        <color rgb="008EA9DB"/>
      </top>
      <bottom style="thin">
        <color rgb="008EA9DB"/>
      </bottom>
    </border>
    <border>
      <left style="thick">
        <color rgb="002F5597"/>
      </left>
      <top style="thin">
        <color rgb="00D9E1F2"/>
      </top>
    </border>
    <border>
      <right style="thin">
        <color rgb="00D9E1F2"/>
      </right>
      <top style="thin">
        <color rgb="00D9E1F2"/>
      </top>
    </border>
    <border>
      <left style="thick">
        <color rgb="002F5597"/>
      </left>
    </border>
    <border>
      <right style="thin">
        <color rgb="00D9E1F2"/>
      </right>
    </border>
    <border>
      <left style="thick">
        <color rgb="002F5597"/>
      </left>
      <bottom style="thin">
        <color rgb="00D9E1F2"/>
      </bottom>
    </border>
    <border>
      <right style="thin">
        <color rgb="00D9E1F2"/>
      </right>
      <bottom style="thin">
        <color rgb="00D9E1F2"/>
      </bottom>
    </border>
    <border>
      <left style="thick">
        <color rgb="00548235"/>
      </left>
      <top style="thin">
        <color rgb="00D9E1F2"/>
      </top>
    </border>
    <border>
      <left style="thick">
        <color rgb="00548235"/>
      </left>
    </border>
    <border>
      <left style="thick">
        <color rgb="00548235"/>
      </left>
      <bottom style="thin">
        <color rgb="00D9E1F2"/>
      </bottom>
    </border>
    <border>
      <left style="thick">
        <color rgb="00C00000"/>
      </left>
      <top style="thin">
        <color rgb="00D9E1F2"/>
      </top>
    </border>
    <border>
      <top style="thin">
        <color rgb="00D9E1F2"/>
      </top>
    </border>
    <border>
      <left style="thick">
        <color rgb="00C00000"/>
      </left>
    </border>
    <border>
      <left style="thick">
        <color rgb="00C00000"/>
      </left>
      <bottom style="thin">
        <color rgb="00D9E1F2"/>
      </bottom>
    </border>
    <border>
      <bottom style="thin">
        <color rgb="00D9E1F2"/>
      </bottom>
    </border>
    <border>
      <left style="thick">
        <color rgb="00C55A11"/>
      </left>
      <top style="thin">
        <color rgb="00D9E1F2"/>
      </top>
    </border>
    <border>
      <left style="thick">
        <color rgb="00C55A11"/>
      </left>
    </border>
    <border>
      <left style="thick">
        <color rgb="00C55A11"/>
      </left>
      <bottom style="thin">
        <color rgb="00D9E1F2"/>
      </bottom>
    </border>
    <border>
      <left style="thick">
        <color rgb="002F5597"/>
      </left>
      <right style="thin">
        <color rgb="00D9E1F2"/>
      </right>
      <top style="thin">
        <color rgb="00D9E1F2"/>
      </top>
    </border>
    <border>
      <left style="thick">
        <color rgb="002F5597"/>
      </left>
      <right style="thin">
        <color rgb="00D9E1F2"/>
      </right>
    </border>
    <border>
      <left style="thick">
        <color rgb="002F5597"/>
      </left>
      <right style="thin">
        <color rgb="00D9E1F2"/>
      </right>
      <bottom style="thin">
        <color rgb="00D9E1F2"/>
      </bottom>
    </border>
    <border>
      <left style="thick">
        <color rgb="00548235"/>
      </left>
      <right style="thin">
        <color rgb="00D9E1F2"/>
      </right>
      <top style="thin">
        <color rgb="00D9E1F2"/>
      </top>
    </border>
    <border>
      <left style="thick">
        <color rgb="00548235"/>
      </left>
      <right style="thin">
        <color rgb="00D9E1F2"/>
      </right>
    </border>
    <border>
      <left style="thick">
        <color rgb="00548235"/>
      </left>
      <right style="thin">
        <color rgb="00D9E1F2"/>
      </right>
      <bottom style="thin">
        <color rgb="00D9E1F2"/>
      </bottom>
    </border>
    <border>
      <left/>
      <right/>
      <top style="thin">
        <color rgb="008EA9DB"/>
      </top>
      <bottom/>
      <diagonal/>
    </border>
    <border>
      <left/>
      <right style="thin">
        <color rgb="008EA9DB"/>
      </right>
      <top style="thin">
        <color rgb="008EA9DB"/>
      </top>
      <bottom/>
      <diagonal/>
    </border>
    <border>
      <left/>
      <right style="thin">
        <color rgb="008EA9DB"/>
      </right>
      <top style="thin">
        <color rgb="008EA9DB"/>
      </top>
      <bottom style="thin">
        <color rgb="008EA9DB"/>
      </bottom>
      <diagonal/>
    </border>
    <border>
      <left style="medium">
        <color rgb="002F5597"/>
      </left>
      <right style="medium">
        <color rgb="002F5597"/>
      </right>
      <top style="medium">
        <color rgb="002F5597"/>
      </top>
      <bottom style="medium">
        <color rgb="002F5597"/>
      </bottom>
    </border>
    <border>
      <left style="thick">
        <color rgb="007030A0"/>
      </left>
      <top style="thin">
        <color rgb="00D9E1F2"/>
      </top>
    </border>
    <border>
      <left style="thick">
        <color rgb="007030A0"/>
      </left>
    </border>
    <border>
      <left style="thick">
        <color rgb="007030A0"/>
      </left>
      <bottom style="thin">
        <color rgb="00D9E1F2"/>
      </bottom>
    </border>
    <border>
      <left style="thick">
        <color rgb="00375623"/>
      </left>
      <top style="thin">
        <color rgb="00D9E1F2"/>
      </top>
    </border>
    <border>
      <left style="thick">
        <color rgb="00375623"/>
      </left>
    </border>
    <border>
      <left style="thick">
        <color rgb="00375623"/>
      </left>
      <bottom style="thin">
        <color rgb="00D9E1F2"/>
      </bottom>
    </border>
    <border>
      <left style="thick">
        <color rgb="001F3864"/>
      </left>
      <top style="thin">
        <color rgb="00D9E1F2"/>
      </top>
    </border>
    <border>
      <left style="thick">
        <color rgb="001F3864"/>
      </left>
    </border>
    <border>
      <left style="thick">
        <color rgb="001F3864"/>
      </left>
      <bottom style="thin">
        <color rgb="00D9E1F2"/>
      </bottom>
    </border>
    <border>
      <bottom style="thin">
        <color rgb="00D9D9D9"/>
      </bottom>
    </border>
    <border>
      <top style="medium">
        <color rgb="001F3864"/>
      </top>
    </border>
  </borders>
  <cellStyleXfs count="30">
    <xf numFmtId="0" fontId="0" fillId="0" borderId="0"/>
    <xf numFmtId="0" fontId="1" fillId="2" borderId="1" applyAlignment="1">
      <alignment horizontal="left" vertical="center"/>
    </xf>
    <xf numFmtId="164" fontId="1" fillId="2" borderId="1" applyAlignment="1">
      <alignment horizontal="center" vertical="center"/>
    </xf>
    <xf numFmtId="1" fontId="1" fillId="2" borderId="1" applyAlignment="1">
      <alignment horizontal="center" vertical="center"/>
    </xf>
    <xf numFmtId="165" fontId="1" fillId="2" borderId="1" applyAlignment="1">
      <alignment horizontal="center" vertical="center"/>
    </xf>
    <xf numFmtId="164" fontId="2" fillId="3" borderId="2" applyAlignment="1" applyProtection="1">
      <alignment horizontal="center" vertical="center"/>
      <protection locked="0" hidden="0"/>
    </xf>
    <xf numFmtId="165" fontId="2" fillId="3" borderId="2" applyAlignment="1" applyProtection="1">
      <alignment horizontal="center" vertical="center"/>
      <protection locked="0" hidden="0"/>
    </xf>
    <xf numFmtId="0" fontId="2" fillId="3" borderId="2" applyAlignment="1" applyProtection="1">
      <alignment horizontal="left" vertical="center"/>
      <protection locked="0" hidden="0"/>
    </xf>
    <xf numFmtId="0" fontId="2" fillId="3" borderId="2" applyAlignment="1" applyProtection="1">
      <alignment vertical="top" wrapText="1"/>
      <protection locked="0" hidden="0"/>
    </xf>
    <xf numFmtId="166" fontId="2" fillId="0" borderId="1" applyAlignment="1">
      <alignment horizontal="center" vertical="center"/>
    </xf>
    <xf numFmtId="167" fontId="2" fillId="0" borderId="1" applyAlignment="1">
      <alignment horizontal="center" vertical="center"/>
    </xf>
    <xf numFmtId="0" fontId="2" fillId="0" borderId="1" applyAlignment="1">
      <alignment horizontal="center" vertical="center"/>
    </xf>
    <xf numFmtId="164" fontId="2" fillId="0" borderId="1"/>
    <xf numFmtId="168" fontId="1" fillId="2" borderId="1" applyAlignment="1">
      <alignment horizontal="center" vertical="center"/>
    </xf>
    <xf numFmtId="4" fontId="1" fillId="2" borderId="1" applyAlignment="1">
      <alignment horizontal="center" vertical="center"/>
    </xf>
    <xf numFmtId="168" fontId="2" fillId="3" borderId="2" applyAlignment="1" applyProtection="1">
      <alignment horizontal="center" vertical="center"/>
      <protection locked="0" hidden="0"/>
    </xf>
    <xf numFmtId="4" fontId="2" fillId="3" borderId="2" applyAlignment="1" applyProtection="1">
      <alignment horizontal="center" vertical="center"/>
      <protection locked="0" hidden="0"/>
    </xf>
    <xf numFmtId="4" fontId="3" fillId="4" borderId="1" applyAlignment="1">
      <alignment horizontal="center" vertical="center"/>
    </xf>
    <xf numFmtId="168" fontId="2" fillId="0" borderId="1" applyAlignment="1">
      <alignment horizontal="center" vertical="center"/>
    </xf>
    <xf numFmtId="4" fontId="2" fillId="0" borderId="1" applyAlignment="1">
      <alignment horizontal="center" vertical="center"/>
    </xf>
    <xf numFmtId="169" fontId="2" fillId="0" borderId="1" applyAlignment="1">
      <alignment horizontal="center" vertical="center"/>
    </xf>
    <xf numFmtId="170" fontId="2" fillId="0" borderId="1" applyAlignment="1">
      <alignment horizontal="center" vertical="center"/>
    </xf>
    <xf numFmtId="165" fontId="2" fillId="0" borderId="1"/>
    <xf numFmtId="0" fontId="2" fillId="0" borderId="1" applyAlignment="1">
      <alignment vertical="center"/>
    </xf>
    <xf numFmtId="0" fontId="2" fillId="0" borderId="1" applyAlignment="1">
      <alignment horizontal="center" vertical="center"/>
    </xf>
    <xf numFmtId="164" fontId="2" fillId="0" borderId="1" applyAlignment="1">
      <alignment horizontal="center" vertical="center"/>
    </xf>
    <xf numFmtId="165" fontId="2" fillId="0" borderId="1" applyAlignment="1">
      <alignment horizontal="center" vertical="center"/>
    </xf>
    <xf numFmtId="166" fontId="2" fillId="0" borderId="1" applyAlignment="1">
      <alignment horizontal="center" vertical="center"/>
    </xf>
    <xf numFmtId="0" fontId="2" fillId="0" borderId="1" applyAlignment="1">
      <alignment vertical="center"/>
    </xf>
    <xf numFmtId="0" fontId="4" fillId="0" borderId="1" applyAlignment="1">
      <alignment horizontal="center" vertical="center"/>
    </xf>
  </cellStyleXfs>
  <cellXfs count="111">
    <xf numFmtId="0" fontId="0" fillId="0" borderId="0" pivotButton="0" quotePrefix="0" xfId="0"/>
    <xf numFmtId="0" fontId="5" fillId="5" borderId="0" applyAlignment="1" pivotButton="0" quotePrefix="0" xfId="0">
      <alignment vertical="bottom" indent="1"/>
    </xf>
    <xf numFmtId="0" fontId="18" fillId="5" borderId="0" applyAlignment="1" pivotButton="0" quotePrefix="0" xfId="0">
      <alignment vertical="bottom"/>
    </xf>
    <xf numFmtId="0" fontId="0" fillId="5" borderId="0" pivotButton="0" quotePrefix="0" xfId="0"/>
    <xf numFmtId="0" fontId="6" fillId="5" borderId="0" applyAlignment="1" pivotButton="0" quotePrefix="0" xfId="0">
      <alignment vertical="top" indent="1"/>
    </xf>
    <xf numFmtId="0" fontId="6" fillId="5" borderId="0" applyAlignment="1" pivotButton="0" quotePrefix="0" xfId="0">
      <alignment vertical="top"/>
    </xf>
    <xf numFmtId="0" fontId="7" fillId="0" borderId="0" applyAlignment="1" pivotButton="0" quotePrefix="0" xfId="0">
      <alignment vertical="center" indent="1"/>
    </xf>
    <xf numFmtId="0" fontId="9" fillId="0" borderId="0" applyAlignment="1" pivotButton="0" quotePrefix="0" xfId="0">
      <alignment vertical="bottom"/>
    </xf>
    <xf numFmtId="0" fontId="19" fillId="3" borderId="29" applyAlignment="1" applyProtection="1" pivotButton="0" quotePrefix="0" xfId="0">
      <alignment vertical="center" indent="1"/>
      <protection locked="0" hidden="0"/>
    </xf>
    <xf numFmtId="0" fontId="0" fillId="3" borderId="29" applyProtection="1" pivotButton="0" quotePrefix="0" xfId="0">
      <protection locked="0" hidden="0"/>
    </xf>
    <xf numFmtId="0" fontId="20" fillId="0" borderId="0" applyAlignment="1" pivotButton="0" quotePrefix="0" xfId="0">
      <alignment vertical="center"/>
    </xf>
    <xf numFmtId="0" fontId="9" fillId="7" borderId="3" applyAlignment="1" pivotButton="0" quotePrefix="0" xfId="0">
      <alignment horizontal="left" vertical="center" indent="1"/>
    </xf>
    <xf numFmtId="0" fontId="0" fillId="7" borderId="4" pivotButton="0" quotePrefix="0" xfId="0"/>
    <xf numFmtId="0" fontId="9" fillId="7" borderId="23" applyAlignment="1" pivotButton="0" quotePrefix="0" xfId="0">
      <alignment horizontal="left" vertical="center" indent="1"/>
    </xf>
    <xf numFmtId="0" fontId="9" fillId="7" borderId="12" applyAlignment="1" pivotButton="0" quotePrefix="0" xfId="0">
      <alignment horizontal="left" vertical="center" indent="1"/>
    </xf>
    <xf numFmtId="0" fontId="9" fillId="7" borderId="17" applyAlignment="1" pivotButton="0" quotePrefix="0" xfId="0">
      <alignment horizontal="left" vertical="center" indent="1"/>
    </xf>
    <xf numFmtId="0" fontId="0" fillId="7" borderId="13" pivotButton="0" quotePrefix="0" xfId="0"/>
    <xf numFmtId="0" fontId="9" fillId="7" borderId="30" applyAlignment="1" pivotButton="0" quotePrefix="0" xfId="0">
      <alignment horizontal="left" vertical="center" indent="1"/>
    </xf>
    <xf numFmtId="0" fontId="9" fillId="7" borderId="33" applyAlignment="1" pivotButton="0" quotePrefix="0" xfId="0">
      <alignment horizontal="left" vertical="center" indent="1"/>
    </xf>
    <xf numFmtId="0" fontId="9" fillId="7" borderId="36" applyAlignment="1" pivotButton="0" quotePrefix="0" xfId="0">
      <alignment horizontal="left" vertical="center" indent="1"/>
    </xf>
    <xf numFmtId="1" fontId="10" fillId="7" borderId="5" applyAlignment="1" pivotButton="0" quotePrefix="0" xfId="0">
      <alignment horizontal="left" vertical="center" indent="1"/>
    </xf>
    <xf numFmtId="0" fontId="0" fillId="7" borderId="6" pivotButton="0" quotePrefix="0" xfId="0"/>
    <xf numFmtId="1" fontId="10" fillId="7" borderId="24" applyAlignment="1" pivotButton="0" quotePrefix="0" xfId="0">
      <alignment horizontal="left" vertical="center" indent="1"/>
    </xf>
    <xf numFmtId="1" fontId="10" fillId="7" borderId="14" applyAlignment="1" pivotButton="0" quotePrefix="0" xfId="0">
      <alignment horizontal="left" vertical="center" indent="1"/>
    </xf>
    <xf numFmtId="1" fontId="10" fillId="7" borderId="18" applyAlignment="1" pivotButton="0" quotePrefix="0" xfId="0">
      <alignment horizontal="left" vertical="center" indent="1"/>
    </xf>
    <xf numFmtId="0" fontId="0" fillId="7" borderId="1" pivotButton="0" quotePrefix="0" xfId="0"/>
    <xf numFmtId="1" fontId="10" fillId="7" borderId="31" applyAlignment="1" pivotButton="0" quotePrefix="0" xfId="0">
      <alignment horizontal="left" vertical="center" indent="1"/>
    </xf>
    <xf numFmtId="1" fontId="10" fillId="7" borderId="34" applyAlignment="1" pivotButton="0" quotePrefix="0" xfId="0">
      <alignment horizontal="left" vertical="center" indent="1"/>
    </xf>
    <xf numFmtId="9" fontId="10" fillId="7" borderId="37" applyAlignment="1" pivotButton="0" quotePrefix="0" xfId="0">
      <alignment horizontal="left" vertical="center" indent="1"/>
    </xf>
    <xf numFmtId="0" fontId="11" fillId="7" borderId="7" applyAlignment="1" pivotButton="0" quotePrefix="0" xfId="0">
      <alignment horizontal="left" vertical="center" wrapText="1" indent="1"/>
    </xf>
    <xf numFmtId="0" fontId="0" fillId="7" borderId="8" pivotButton="0" quotePrefix="0" xfId="0"/>
    <xf numFmtId="0" fontId="11" fillId="7" borderId="25" applyAlignment="1" pivotButton="0" quotePrefix="0" xfId="0">
      <alignment horizontal="left" vertical="center" wrapText="1" indent="1"/>
    </xf>
    <xf numFmtId="0" fontId="11" fillId="7" borderId="15" applyAlignment="1" pivotButton="0" quotePrefix="0" xfId="0">
      <alignment horizontal="left" vertical="center" wrapText="1" indent="1"/>
    </xf>
    <xf numFmtId="0" fontId="11" fillId="7" borderId="19" applyAlignment="1" pivotButton="0" quotePrefix="0" xfId="0">
      <alignment horizontal="left" vertical="center" wrapText="1" indent="1"/>
    </xf>
    <xf numFmtId="0" fontId="0" fillId="7" borderId="16" pivotButton="0" quotePrefix="0" xfId="0"/>
    <xf numFmtId="0" fontId="11" fillId="7" borderId="32" applyAlignment="1" pivotButton="0" quotePrefix="0" xfId="0">
      <alignment horizontal="left" vertical="center" wrapText="1" indent="1"/>
    </xf>
    <xf numFmtId="0" fontId="11" fillId="7" borderId="35" applyAlignment="1" pivotButton="0" quotePrefix="0" xfId="0">
      <alignment horizontal="left" vertical="center" wrapText="1" indent="1"/>
    </xf>
    <xf numFmtId="0" fontId="11" fillId="7" borderId="38" applyAlignment="1" pivotButton="0" quotePrefix="0" xfId="0">
      <alignment horizontal="left" vertical="center" wrapText="1" indent="1"/>
    </xf>
    <xf numFmtId="0" fontId="21" fillId="0" borderId="0" pivotButton="0" quotePrefix="0" xfId="0"/>
    <xf numFmtId="0" fontId="20" fillId="0" borderId="0" pivotButton="0" quotePrefix="0" xfId="0"/>
    <xf numFmtId="0" fontId="17" fillId="5" borderId="0" applyAlignment="1" pivotButton="0" quotePrefix="0" xfId="0">
      <alignment horizontal="left" vertical="center" wrapText="1" indent="1"/>
    </xf>
    <xf numFmtId="0" fontId="17" fillId="5" borderId="0" applyAlignment="1" pivotButton="0" quotePrefix="0" xfId="0">
      <alignment horizontal="center" vertical="center" wrapText="1"/>
    </xf>
    <xf numFmtId="1" fontId="14" fillId="0" borderId="39" applyAlignment="1" pivotButton="0" quotePrefix="0" xfId="0">
      <alignment indent="1"/>
    </xf>
    <xf numFmtId="1" fontId="0" fillId="0" borderId="39" applyAlignment="1" pivotButton="0" quotePrefix="0" xfId="0">
      <alignment horizontal="center"/>
    </xf>
    <xf numFmtId="9" fontId="0" fillId="0" borderId="39" applyAlignment="1" pivotButton="0" quotePrefix="0" xfId="0">
      <alignment horizontal="center"/>
    </xf>
    <xf numFmtId="0" fontId="0" fillId="0" borderId="39" applyAlignment="1" pivotButton="0" quotePrefix="0" xfId="0">
      <alignment horizontal="center"/>
    </xf>
    <xf numFmtId="1" fontId="22" fillId="0" borderId="40" applyAlignment="1" pivotButton="0" quotePrefix="0" xfId="0">
      <alignment horizontal="left" indent="1"/>
    </xf>
    <xf numFmtId="1" fontId="22" fillId="0" borderId="40" applyAlignment="1" pivotButton="0" quotePrefix="0" xfId="0">
      <alignment horizontal="center"/>
    </xf>
    <xf numFmtId="9" fontId="22" fillId="0" borderId="40" applyAlignment="1" pivotButton="0" quotePrefix="0" xfId="0">
      <alignment horizontal="center"/>
    </xf>
    <xf numFmtId="0" fontId="22" fillId="0" borderId="40" applyAlignment="1" pivotButton="0" quotePrefix="0" xfId="0">
      <alignment horizontal="center"/>
    </xf>
    <xf numFmtId="0" fontId="23" fillId="0" borderId="0" applyAlignment="1" pivotButton="0" quotePrefix="0" xfId="0">
      <alignment horizontal="right"/>
    </xf>
    <xf numFmtId="0" fontId="17" fillId="11" borderId="0" applyAlignment="1" pivotButton="0" quotePrefix="0" xfId="0">
      <alignment horizontal="center" vertical="center" wrapText="1"/>
    </xf>
    <xf numFmtId="0" fontId="4" fillId="0" borderId="1" applyAlignment="1" pivotButton="0" quotePrefix="0" xfId="29">
      <alignment horizontal="center" vertical="center"/>
    </xf>
    <xf numFmtId="0" fontId="2" fillId="0" borderId="1" applyAlignment="1" pivotButton="0" quotePrefix="0" xfId="23">
      <alignment vertical="center"/>
    </xf>
    <xf numFmtId="0" fontId="2" fillId="0" borderId="1" applyAlignment="1" pivotButton="0" quotePrefix="0" xfId="24">
      <alignment horizontal="center" vertical="center"/>
    </xf>
    <xf numFmtId="164" fontId="2" fillId="0" borderId="1" applyAlignment="1" pivotButton="0" quotePrefix="0" xfId="25">
      <alignment horizontal="center" vertical="center"/>
    </xf>
    <xf numFmtId="165" fontId="2" fillId="0" borderId="1" applyAlignment="1" pivotButton="0" quotePrefix="0" xfId="26">
      <alignment horizontal="center" vertical="center"/>
    </xf>
    <xf numFmtId="166" fontId="2" fillId="0" borderId="1" applyAlignment="1" pivotButton="0" quotePrefix="0" xfId="27">
      <alignment horizontal="center" vertical="center"/>
    </xf>
    <xf numFmtId="0" fontId="2" fillId="0" borderId="1" applyAlignment="1" pivotButton="0" quotePrefix="0" xfId="28">
      <alignment vertical="center"/>
    </xf>
    <xf numFmtId="0" fontId="8" fillId="6" borderId="0" applyAlignment="1" pivotButton="0" quotePrefix="0" xfId="0">
      <alignment vertical="center" wrapText="1" indent="1"/>
    </xf>
    <xf numFmtId="0" fontId="0" fillId="6" borderId="0" pivotButton="0" quotePrefix="0" xfId="0"/>
    <xf numFmtId="0" fontId="9" fillId="7" borderId="9" applyAlignment="1" pivotButton="0" quotePrefix="0" xfId="0">
      <alignment horizontal="left" vertical="center" indent="1"/>
    </xf>
    <xf numFmtId="0" fontId="12" fillId="2" borderId="2" applyAlignment="1" pivotButton="0" quotePrefix="0" xfId="0">
      <alignment vertical="center" indent="1"/>
    </xf>
    <xf numFmtId="0" fontId="14" fillId="0" borderId="0" pivotButton="0" quotePrefix="0" xfId="0"/>
    <xf numFmtId="1" fontId="10" fillId="7" borderId="10" applyAlignment="1" pivotButton="0" quotePrefix="0" xfId="0">
      <alignment horizontal="left" vertical="center" indent="1"/>
    </xf>
    <xf numFmtId="0" fontId="12" fillId="3" borderId="2" applyAlignment="1" pivotButton="0" quotePrefix="0" xfId="0">
      <alignment vertical="center" indent="1"/>
    </xf>
    <xf numFmtId="0" fontId="15" fillId="9" borderId="0" pivotButton="0" quotePrefix="0" xfId="0"/>
    <xf numFmtId="0" fontId="11" fillId="7" borderId="11" applyAlignment="1" pivotButton="0" quotePrefix="0" xfId="0">
      <alignment horizontal="left" vertical="center" wrapText="1" indent="1"/>
    </xf>
    <xf numFmtId="0" fontId="13" fillId="8" borderId="2" applyAlignment="1" pivotButton="0" quotePrefix="0" xfId="0">
      <alignment vertical="center" indent="1"/>
    </xf>
    <xf numFmtId="0" fontId="16" fillId="0" borderId="0" pivotButton="0" quotePrefix="0" xfId="0"/>
    <xf numFmtId="0" fontId="17" fillId="10" borderId="0" applyAlignment="1" pivotButton="0" quotePrefix="0" xfId="0">
      <alignment horizontal="center" vertical="center"/>
    </xf>
    <xf numFmtId="0" fontId="0" fillId="10" borderId="0" pivotButton="0" quotePrefix="0" xfId="0"/>
    <xf numFmtId="0" fontId="17" fillId="11" borderId="0" applyAlignment="1" pivotButton="0" quotePrefix="0" xfId="0">
      <alignment horizontal="center" vertical="center"/>
    </xf>
    <xf numFmtId="0" fontId="0" fillId="11" borderId="0" pivotButton="0" quotePrefix="0" xfId="0"/>
    <xf numFmtId="0" fontId="17" fillId="5" borderId="0" applyAlignment="1" pivotButton="0" quotePrefix="0" xfId="0">
      <alignment horizontal="center" vertical="center"/>
    </xf>
    <xf numFmtId="0" fontId="17" fillId="10" borderId="0" applyAlignment="1" pivotButton="0" quotePrefix="0" xfId="0">
      <alignment horizontal="center" vertical="center" wrapText="1"/>
    </xf>
    <xf numFmtId="0" fontId="17" fillId="10" borderId="0" applyAlignment="1" pivotButton="0" quotePrefix="0" xfId="0">
      <alignment horizontal="left" vertical="center" wrapText="1"/>
    </xf>
    <xf numFmtId="0" fontId="17" fillId="11" borderId="0" applyAlignment="1" pivotButton="0" quotePrefix="0" xfId="0">
      <alignment horizontal="left" vertical="center" wrapText="1"/>
    </xf>
    <xf numFmtId="0" fontId="17" fillId="5" borderId="0" applyAlignment="1" pivotButton="0" quotePrefix="0" xfId="0">
      <alignment vertical="center"/>
    </xf>
    <xf numFmtId="0" fontId="17" fillId="5" borderId="0" pivotButton="0" quotePrefix="0" xfId="0"/>
    <xf numFmtId="0" fontId="1" fillId="2" borderId="1" applyAlignment="1" pivotButton="0" quotePrefix="0" xfId="1">
      <alignment horizontal="left" vertical="center"/>
    </xf>
    <xf numFmtId="164" fontId="1" fillId="2" borderId="1" applyAlignment="1" pivotButton="0" quotePrefix="0" xfId="2">
      <alignment horizontal="center" vertical="center"/>
    </xf>
    <xf numFmtId="1" fontId="1" fillId="2" borderId="1" applyAlignment="1" pivotButton="0" quotePrefix="0" xfId="3">
      <alignment horizontal="center" vertical="center"/>
    </xf>
    <xf numFmtId="165" fontId="1" fillId="2" borderId="1" applyAlignment="1" pivotButton="0" quotePrefix="0" xfId="4">
      <alignment horizontal="center" vertical="center"/>
    </xf>
    <xf numFmtId="164" fontId="2" fillId="3" borderId="2" applyAlignment="1" applyProtection="1" pivotButton="0" quotePrefix="0" xfId="5">
      <alignment horizontal="center" vertical="center"/>
      <protection locked="0" hidden="0"/>
    </xf>
    <xf numFmtId="165" fontId="2" fillId="3" borderId="2" applyAlignment="1" applyProtection="1" pivotButton="0" quotePrefix="0" xfId="6">
      <alignment horizontal="center" vertical="center"/>
      <protection locked="0" hidden="0"/>
    </xf>
    <xf numFmtId="0" fontId="2" fillId="3" borderId="2" applyAlignment="1" applyProtection="1" pivotButton="0" quotePrefix="0" xfId="7">
      <alignment horizontal="left" vertical="center"/>
      <protection locked="0" hidden="0"/>
    </xf>
    <xf numFmtId="0" fontId="2" fillId="3" borderId="2" applyAlignment="1" applyProtection="1" pivotButton="0" quotePrefix="0" xfId="8">
      <alignment vertical="top" wrapText="1"/>
      <protection locked="0" hidden="0"/>
    </xf>
    <xf numFmtId="167" fontId="2" fillId="0" borderId="1" applyAlignment="1" pivotButton="0" quotePrefix="0" xfId="10">
      <alignment horizontal="center" vertical="center"/>
    </xf>
    <xf numFmtId="166" fontId="2" fillId="0" borderId="1" applyAlignment="1" pivotButton="0" quotePrefix="0" xfId="9">
      <alignment horizontal="center" vertical="center"/>
    </xf>
    <xf numFmtId="0" fontId="2" fillId="0" borderId="1" applyAlignment="1" pivotButton="0" quotePrefix="0" xfId="11">
      <alignment horizontal="center" vertical="center"/>
    </xf>
    <xf numFmtId="164" fontId="2" fillId="0" borderId="1" pivotButton="0" quotePrefix="0" xfId="12"/>
    <xf numFmtId="165" fontId="2" fillId="0" borderId="1" pivotButton="0" quotePrefix="0" xfId="22"/>
    <xf numFmtId="0" fontId="9" fillId="7" borderId="20" applyAlignment="1" pivotButton="0" quotePrefix="0" xfId="0">
      <alignment horizontal="left" vertical="center" indent="1"/>
    </xf>
    <xf numFmtId="0" fontId="0" fillId="0" borderId="28" pivotButton="0" quotePrefix="0" xfId="0"/>
    <xf numFmtId="1" fontId="10" fillId="7" borderId="21" applyAlignment="1" pivotButton="0" quotePrefix="0" xfId="0">
      <alignment horizontal="left" vertical="center" indent="1"/>
    </xf>
    <xf numFmtId="172" fontId="10" fillId="7" borderId="18" applyAlignment="1" pivotButton="0" quotePrefix="0" xfId="0">
      <alignment horizontal="left" vertical="center" indent="1"/>
    </xf>
    <xf numFmtId="0" fontId="11" fillId="7" borderId="22" applyAlignment="1" pivotButton="0" quotePrefix="0" xfId="0">
      <alignment horizontal="left" vertical="center" wrapText="1" indent="1"/>
    </xf>
    <xf numFmtId="168" fontId="1" fillId="2" borderId="1" applyAlignment="1" pivotButton="0" quotePrefix="0" xfId="13">
      <alignment horizontal="center" vertical="center"/>
    </xf>
    <xf numFmtId="4" fontId="1" fillId="2" borderId="1" applyAlignment="1" pivotButton="0" quotePrefix="0" xfId="14">
      <alignment horizontal="center" vertical="center"/>
    </xf>
    <xf numFmtId="168" fontId="2" fillId="3" borderId="2" applyAlignment="1" applyProtection="1" pivotButton="0" quotePrefix="0" xfId="15">
      <alignment horizontal="center" vertical="center"/>
      <protection locked="0" hidden="0"/>
    </xf>
    <xf numFmtId="4" fontId="2" fillId="3" borderId="2" applyAlignment="1" applyProtection="1" pivotButton="0" quotePrefix="0" xfId="16">
      <alignment horizontal="center" vertical="center"/>
      <protection locked="0" hidden="0"/>
    </xf>
    <xf numFmtId="168" fontId="2" fillId="0" borderId="1" applyAlignment="1" pivotButton="0" quotePrefix="0" xfId="18">
      <alignment horizontal="center" vertical="center"/>
    </xf>
    <xf numFmtId="169" fontId="2" fillId="0" borderId="1" applyAlignment="1" pivotButton="0" quotePrefix="0" xfId="20">
      <alignment horizontal="center" vertical="center"/>
    </xf>
    <xf numFmtId="4" fontId="2" fillId="0" borderId="1" applyAlignment="1" pivotButton="0" quotePrefix="0" xfId="19">
      <alignment horizontal="center" vertical="center"/>
    </xf>
    <xf numFmtId="170" fontId="2" fillId="0" borderId="1" applyAlignment="1" pivotButton="0" quotePrefix="0" xfId="21">
      <alignment horizontal="center" vertical="center"/>
    </xf>
    <xf numFmtId="167" fontId="2" fillId="0" borderId="1" applyAlignment="1" pivotButton="0" quotePrefix="0" xfId="27">
      <alignment horizontal="center" vertical="center"/>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164" fontId="0" fillId="0" borderId="0" pivotButton="0" quotePrefix="0" xfId="0"/>
  </cellXfs>
  <cellStyles count="30">
    <cellStyle name="Normal" xfId="0" builtinId="0" hidden="0"/>
    <cellStyle name="p-txt" xfId="1" hidden="0"/>
    <cellStyle name="p-date" xfId="2" hidden="0"/>
    <cellStyle name="p-num" xfId="3" hidden="0"/>
    <cellStyle name="p-pct" xfId="4" hidden="0"/>
    <cellStyle name="u-date" xfId="5" hidden="0"/>
    <cellStyle name="u-pct" xfId="6" hidden="0"/>
    <cellStyle name="u-txt" xfId="7" hidden="0"/>
    <cellStyle name="u-note" xfId="8" hidden="0"/>
    <cellStyle name="c-days" xfId="9" hidden="0"/>
    <cellStyle name="c-move" xfId="10" hidden="0"/>
    <cellStyle name="c-mid" xfId="11" hidden="0"/>
    <cellStyle name="h-date" xfId="12" hidden="0"/>
    <cellStyle name="p-qty" xfId="13" hidden="0"/>
    <cellStyle name="p-cost" xfId="14" hidden="0"/>
    <cellStyle name="u-qty" xfId="15" hidden="0"/>
    <cellStyle name="u-cost" xfId="16" hidden="0"/>
    <cellStyle name="u-calc" xfId="17" hidden="0"/>
    <cellStyle name="c-qty" xfId="18" hidden="0"/>
    <cellStyle name="c-cost" xfId="19" hidden="0"/>
    <cellStyle name="c-vqty" xfId="20" hidden="0"/>
    <cellStyle name="c-vcost" xfId="21" hidden="0"/>
    <cellStyle name="h-pct" xfId="22" hidden="0"/>
    <cellStyle name="v-txt" xfId="23" hidden="0"/>
    <cellStyle name="v-mid" xfId="24" hidden="0"/>
    <cellStyle name="v-date" xfId="25" hidden="0"/>
    <cellStyle name="v-pct" xfId="26" hidden="0"/>
    <cellStyle name="v-days" xfId="27" hidden="0"/>
    <cellStyle name="v-note" xfId="28" hidden="0"/>
    <cellStyle name="v-link" xfId="29" hidden="0"/>
  </cellStyles>
  <dxfs count="15">
    <dxf>
      <font>
        <b val="1"/>
        <color rgb="00C00000"/>
        <sz val="20"/>
      </font>
    </dxf>
    <dxf>
      <font>
        <b val="1"/>
        <color rgb="00C55A11"/>
        <sz val="20"/>
      </font>
    </dxf>
    <dxf>
      <fill>
        <patternFill patternType="solid">
          <fgColor rgb="00FFF2CC"/>
          <bgColor rgb="00FFF2CC"/>
        </patternFill>
      </fill>
    </dxf>
    <dxf>
      <font>
        <b val="1"/>
        <color rgb="00C00000"/>
      </font>
    </dxf>
    <dxf>
      <font>
        <b val="1"/>
        <color rgb="00C55A11"/>
      </font>
    </dxf>
    <dxf>
      <font>
        <b val="1"/>
        <color rgb="00375623"/>
      </font>
    </dxf>
    <dxf>
      <font>
        <color rgb="007F7F7F"/>
      </font>
    </dxf>
    <dxf>
      <border>
        <bottom style="thin">
          <color rgb="00D9D9D9"/>
        </bottom>
      </border>
    </dxf>
    <dxf>
      <fill>
        <patternFill patternType="solid">
          <fgColor rgb="00C6EFCE"/>
          <bgColor rgb="00C6EFCE"/>
        </patternFill>
      </fill>
    </dxf>
    <dxf>
      <font>
        <b val="1"/>
        <color rgb="009C0006"/>
      </font>
    </dxf>
    <dxf>
      <font>
        <color rgb="00375623"/>
      </font>
      <fill>
        <patternFill patternType="solid">
          <fgColor rgb="00E2EFDA"/>
          <bgColor rgb="00E2EFDA"/>
        </patternFill>
      </fill>
    </dxf>
    <dxf>
      <font>
        <b val="1"/>
        <color rgb="009C0006"/>
      </font>
      <fill>
        <patternFill patternType="solid">
          <fgColor rgb="00FFC7CE"/>
          <bgColor rgb="00FFC7CE"/>
        </patternFill>
      </fill>
    </dxf>
    <dxf>
      <font>
        <b val="1"/>
        <color rgb="00006100"/>
      </font>
      <fill>
        <patternFill patternType="solid">
          <fgColor rgb="00C6EFCE"/>
          <bgColor rgb="00C6EFCE"/>
        </patternFill>
      </fill>
    </dxf>
    <dxf>
      <font>
        <color rgb="00C00000"/>
      </font>
    </dxf>
    <dxf>
      <font>
        <b val="1"/>
        <color rgb="009C57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plotArea>
      <barChart>
        <barDir val="bar"/>
        <grouping val="stacked"/>
        <ser>
          <idx val="0"/>
          <order val="0"/>
          <tx>
            <strRef>
              <f>'Overview'!S13</f>
              <strCache>
                <ptCount val="1"/>
                <pt idx="0">
                  <v>Updated</v>
                </pt>
              </strCache>
            </strRef>
          </tx>
          <spPr>
            <a:solidFill xmlns:a="http://schemas.openxmlformats.org/drawingml/2006/main">
              <a:srgbClr val="70AD47"/>
            </a:solidFill>
            <a:ln xmlns:a="http://schemas.openxmlformats.org/drawingml/2006/main">
              <a:solidFill>
                <a:srgbClr val="70AD47"/>
              </a:solidFill>
              <a:prstDash val="solid"/>
            </a:ln>
          </spPr>
          <cat>
            <strRef>
              <f>'Overview'!$C$14:$C$17</f>
              <strCache>
                <ptCount val="4"/>
                <pt idx="0">
                  <v>Dan Lowe - Design Lead</v>
                </pt>
                <pt idx="1">
                  <v>Priya Menon - Project Manager</v>
                </pt>
                <pt idx="2">
                  <v>Sara Moss - Site Manager</v>
                </pt>
                <pt idx="3">
                  <v>Tom Reid - Package Manager</v>
                </pt>
              </strCache>
            </strRef>
          </cat>
          <val>
            <numRef>
              <f>'Overview'!$S$14:$S$17</f>
              <numCache>
                <formatCode>General</formatCode>
                <ptCount val="4"/>
                <pt idx="0">
                  <v>0</v>
                </pt>
                <pt idx="1">
                  <v>0</v>
                </pt>
                <pt idx="2">
                  <v>0</v>
                </pt>
                <pt idx="3">
                  <v>0</v>
                </pt>
              </numCache>
            </numRef>
          </val>
        </ser>
        <ser>
          <idx val="1"/>
          <order val="1"/>
          <tx>
            <strRef>
              <f>'Overview'!T13</f>
              <strCache>
                <ptCount val="1"/>
                <pt idx="0">
                  <v>Not yet</v>
                </pt>
              </strCache>
            </strRef>
          </tx>
          <spPr>
            <a:solidFill xmlns:a="http://schemas.openxmlformats.org/drawingml/2006/main">
              <a:srgbClr val="D9D9D9"/>
            </a:solidFill>
            <a:ln xmlns:a="http://schemas.openxmlformats.org/drawingml/2006/main">
              <a:solidFill>
                <a:srgbClr val="D9D9D9"/>
              </a:solidFill>
              <a:prstDash val="solid"/>
            </a:ln>
          </spPr>
          <cat>
            <strRef>
              <f>'Overview'!$C$14:$C$17</f>
              <strCache>
                <ptCount val="4"/>
                <pt idx="0">
                  <v>Dan Lowe - Design Lead</v>
                </pt>
                <pt idx="1">
                  <v>Priya Menon - Project Manager</v>
                </pt>
                <pt idx="2">
                  <v>Sara Moss - Site Manager</v>
                </pt>
                <pt idx="3">
                  <v>Tom Reid - Package Manager</v>
                </pt>
              </strCache>
            </strRef>
          </cat>
          <val>
            <numRef>
              <f>'Overview'!$T$14:$T$17</f>
              <numCache>
                <formatCode>General</formatCode>
                <ptCount val="4"/>
                <pt idx="0">
                  <v>19</v>
                </pt>
                <pt idx="1">
                  <v>2</v>
                </pt>
                <pt idx="2">
                  <v>20</v>
                </pt>
                <pt idx="3">
                  <v>19</v>
                </pt>
              </numCache>
            </numRef>
          </val>
        </ser>
        <gapWidth val="6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crosses val="max"/>
      </valAx>
    </plotArea>
    <legend>
      <legendPos val="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Where things stand</a:t>
            </a:r>
          </a:p>
        </rich>
      </tx>
    </title>
    <plotArea>
      <doughnutChart>
        <varyColors val="1"/>
        <ser>
          <idx val="0"/>
          <order val="0"/>
          <tx>
            <strRef>
              <f>'Lists'!H1</f>
              <strCache>
                <ptCount val="1"/>
                <pt idx="0">
                  <v>Activities</v>
                </pt>
              </strCache>
            </strRef>
          </tx>
          <spPr>
            <a:ln xmlns:a="http://schemas.openxmlformats.org/drawingml/2006/main">
              <a:prstDash val="solid"/>
            </a:ln>
          </spPr>
          <dPt>
            <idx val="0"/>
            <spPr>
              <a:solidFill xmlns:a="http://schemas.openxmlformats.org/drawingml/2006/main">
                <a:srgbClr val="C00000"/>
              </a:solidFill>
              <a:ln xmlns:a="http://schemas.openxmlformats.org/drawingml/2006/main">
                <a:solidFill>
                  <a:srgbClr val="FFFFFF"/>
                </a:solidFill>
                <a:prstDash val="solid"/>
              </a:ln>
            </spPr>
          </dPt>
          <dPt>
            <idx val="1"/>
            <spPr>
              <a:solidFill xmlns:a="http://schemas.openxmlformats.org/drawingml/2006/main">
                <a:srgbClr val="BFBFBF"/>
              </a:solidFill>
              <a:ln xmlns:a="http://schemas.openxmlformats.org/drawingml/2006/main">
                <a:solidFill>
                  <a:srgbClr val="FFFFFF"/>
                </a:solidFill>
                <a:prstDash val="solid"/>
              </a:ln>
            </spPr>
          </dPt>
          <dPt>
            <idx val="2"/>
            <spPr>
              <a:solidFill xmlns:a="http://schemas.openxmlformats.org/drawingml/2006/main">
                <a:srgbClr val="70AD47"/>
              </a:solidFill>
              <a:ln xmlns:a="http://schemas.openxmlformats.org/drawingml/2006/main">
                <a:solidFill>
                  <a:srgbClr val="FFFFFF"/>
                </a:solidFill>
                <a:prstDash val="solid"/>
              </a:ln>
            </spPr>
          </dPt>
          <dPt>
            <idx val="3"/>
            <spPr>
              <a:solidFill xmlns:a="http://schemas.openxmlformats.org/drawingml/2006/main">
                <a:srgbClr val="375623"/>
              </a:solidFill>
              <a:ln xmlns:a="http://schemas.openxmlformats.org/drawingml/2006/main">
                <a:solidFill>
                  <a:srgbClr val="FFFFFF"/>
                </a:solidFill>
                <a:prstDash val="solid"/>
              </a:ln>
            </spPr>
          </dPt>
          <cat>
            <strRef>
              <f>'Lists'!$G$2:$G$5</f>
              <strCache>
                <ptCount val="4"/>
                <pt idx="0">
                  <v>Need attention</v>
                </pt>
                <pt idx="1">
                  <v>Not changed yet</v>
                </pt>
                <pt idx="2">
                  <v>Updated</v>
                </pt>
                <pt idx="3">
                  <v>Complete</v>
                </pt>
              </strCache>
            </strRef>
          </cat>
          <val>
            <numRef>
              <f>'Lists'!$H$2:$H$5</f>
              <numCache>
                <formatCode>General</formatCode>
                <ptCount val="4"/>
                <pt idx="0">
                  <v>3</v>
                </pt>
                <pt idx="1">
                  <v>24</v>
                </pt>
                <pt idx="2">
                  <v>0</v>
                </pt>
                <pt idx="3">
                  <v>33</v>
                </pt>
              </numCache>
            </numRef>
          </val>
        </ser>
        <dLbls>
          <showLegendKey val="0"/>
          <showVal val="1"/>
          <showCatName val="0"/>
          <showSerName val="0"/>
          <showPercent val="0"/>
          <showLeaderLines val="0"/>
        </dLbls>
        <firstSliceAng val="0"/>
        <holeSize val="58"/>
      </doughnutChart>
    </plotArea>
    <legend>
      <legendPos val="r"/>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16</col>
      <colOff>0</colOff>
      <row>11</row>
      <rowOff>0</rowOff>
    </from>
    <ext cx="468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11</row>
      <rowOff>0</rowOff>
    </from>
    <ext cx="396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fitToPage="1"/>
  </sheetPr>
  <dimension ref="A1:T87"/>
  <sheetViews>
    <sheetView showGridLines="0" zoomScale="90" workbookViewId="0">
      <selection activeCell="A1" sqref="A1"/>
    </sheetView>
  </sheetViews>
  <sheetFormatPr baseColWidth="8" defaultRowHeight="15"/>
  <cols>
    <col width="2" customWidth="1" min="1" max="1"/>
    <col width="4" customWidth="1" min="2" max="2"/>
    <col width="28" customWidth="1" min="3" max="3"/>
    <col width="15" customWidth="1" min="4" max="4"/>
    <col width="42" customWidth="1" min="5" max="5"/>
    <col width="26" customWidth="1" min="6" max="6"/>
    <col width="12" customWidth="1" min="7" max="7"/>
    <col width="11" customWidth="1" min="8" max="8"/>
    <col width="11" customWidth="1" min="9" max="9"/>
    <col width="10" customWidth="1" min="10" max="10"/>
    <col width="12" customWidth="1" min="11" max="11"/>
    <col width="12" customWidth="1" min="12" max="12"/>
    <col width="10" customWidth="1" min="13" max="13"/>
    <col width="12" customWidth="1" min="14" max="14"/>
    <col width="9" customWidth="1" min="15" max="15"/>
    <col width="18" customWidth="1" min="16" max="16"/>
    <col width="18" customWidth="1" min="17" max="17"/>
    <col width="40" customWidth="1" min="18" max="18"/>
    <col hidden="1" width="13" customWidth="1" min="19" max="19"/>
    <col hidden="1" width="13" customWidth="1" min="20" max="20"/>
  </cols>
  <sheetData>
    <row r="1" ht="32" customHeight="1">
      <c r="A1" s="1" t="n"/>
      <c r="B1" s="2" t="inlineStr">
        <is>
          <t>Programme update</t>
        </is>
      </c>
      <c r="C1" s="3" t="n"/>
      <c r="D1" s="3" t="n"/>
      <c r="E1" s="3" t="n"/>
      <c r="F1" s="3" t="n"/>
      <c r="G1" s="3" t="n"/>
      <c r="H1" s="3" t="n"/>
      <c r="I1" s="3" t="n"/>
      <c r="J1" s="3" t="n"/>
      <c r="K1" s="3" t="n"/>
      <c r="L1" s="3" t="n"/>
      <c r="M1" s="3" t="n"/>
      <c r="N1" s="3" t="n"/>
      <c r="O1" s="3" t="n"/>
      <c r="P1" s="3" t="n"/>
      <c r="Q1" s="3" t="n"/>
      <c r="R1" s="3" t="n"/>
    </row>
    <row r="2" ht="22" customHeight="1">
      <c r="A2" s="4" t="n"/>
      <c r="B2" s="5" t="inlineStr">
        <is>
          <t>SAMPLE-FITOUT   ·   data date 30 Jun 2024   ·   Whole programme</t>
        </is>
      </c>
      <c r="C2" s="3" t="n"/>
      <c r="D2" s="3" t="n"/>
      <c r="E2" s="3" t="n"/>
      <c r="F2" s="3" t="n"/>
      <c r="G2" s="3" t="n"/>
      <c r="H2" s="3" t="n"/>
      <c r="I2" s="3" t="n"/>
      <c r="J2" s="3" t="n"/>
      <c r="K2" s="3" t="n"/>
      <c r="L2" s="3" t="n"/>
      <c r="M2" s="3" t="n"/>
      <c r="N2" s="3" t="n"/>
      <c r="O2" s="3" t="n"/>
      <c r="P2" s="3" t="n"/>
      <c r="Q2" s="3" t="n"/>
      <c r="R2" s="3" t="n"/>
    </row>
    <row r="3" ht="20" customHeight="1">
      <c r="B3" s="6" t="str">
        <f>IF(INFO("RECALC")="Automatic","","If these figures are struck through, or do not follow what is typed, Excel is calculating manually: press F9 to update them, or turn it on for good with Formulas › Calculation Options › Automatic.")</f>
        <v>If these figures are struck through, or do not follow what is typed, Excel is calculating manually: press F9 to update them, or turn it on for good with Formulas › Calculation Options › Automatic.</v>
      </c>
    </row>
    <row r="4" ht="16" customHeight="1">
      <c r="C4" s="7" t="inlineStr">
        <is>
          <t>PERSON  ▾</t>
        </is>
      </c>
      <c r="E4" s="7" t="inlineStr">
        <is>
          <t>SHOW  ▾</t>
        </is>
      </c>
      <c r="G4" s="7" t="inlineStr">
        <is>
          <t>FIND</t>
        </is>
      </c>
    </row>
    <row r="5" ht="26" customHeight="1">
      <c r="C5" s="8" t="inlineStr">
        <is>
          <t>Everyone</t>
        </is>
      </c>
      <c r="D5" s="9" t="n"/>
      <c r="E5" s="8" t="inlineStr">
        <is>
          <t>All activities</t>
        </is>
      </c>
      <c r="G5" s="8" t="n"/>
      <c r="H5" s="9" t="n"/>
      <c r="I5" s="9" t="n"/>
      <c r="K5" s="10" t="inlineStr">
        <is>
          <t>Pick from the arrows - the figures and the lists below follow.</t>
        </is>
      </c>
    </row>
    <row r="7">
      <c r="C7" s="11" t="inlineStr">
        <is>
          <t>ACTIVITIES</t>
        </is>
      </c>
      <c r="D7" s="12" t="n"/>
      <c r="E7" s="13" t="inlineStr">
        <is>
          <t>UPDATED</t>
        </is>
      </c>
      <c r="F7" s="14" t="inlineStr">
        <is>
          <t>NEED ATTENTION</t>
        </is>
      </c>
      <c r="G7" s="12" t="n"/>
      <c r="H7" s="15" t="inlineStr">
        <is>
          <t>FINISHING LATE</t>
        </is>
      </c>
      <c r="I7" s="16" t="n"/>
      <c r="J7" s="12" t="n"/>
      <c r="K7" s="17" t="inlineStr">
        <is>
          <t>CRITICAL</t>
        </is>
      </c>
      <c r="L7" s="16" t="n"/>
      <c r="M7" s="12" t="n"/>
      <c r="N7" s="18" t="inlineStr">
        <is>
          <t>COMPLETE</t>
        </is>
      </c>
      <c r="O7" s="16" t="n"/>
      <c r="P7" s="12" t="n"/>
      <c r="Q7" s="19" t="inlineStr">
        <is>
          <t>UPDATES IN</t>
        </is>
      </c>
      <c r="R7" s="12" t="n"/>
    </row>
    <row r="8" ht="30" customHeight="1">
      <c r="C8" s="20">
        <f>SUM(Data!$T$2:$T$61)</f>
        <v>60</v>
      </c>
      <c r="D8" s="21" t="n"/>
      <c r="E8" s="22">
        <f>SUMIFS(Data!$R$2:$R$61,Data!$T$2:$T$61,1)</f>
        <v>0</v>
      </c>
      <c r="F8" s="23">
        <f>COUNTIFS(Data!$T$2:$T$61,1,Data!$P$2:$P$61,"Reason needed")+COUNTIFS(Data!$T$2:$T$61,1,Data!$P$2:$P$61,"Start date needed")+COUNTIFS(Data!$T$2:$T$61,1,Data!$P$2:$P$61,"Finish date needed")+COUNTIFS(Data!$T$2:$T$61,1,Data!$P$2:$P$61,"Date in the future")</f>
        <v>3</v>
      </c>
      <c r="G8" s="21" t="n"/>
      <c r="H8" s="24">
        <f>COUNTIFS(Data!$T$2:$T$61,1,Data!$O$2:$O$61,"&gt;0",Data!$L$2:$L$61,"")</f>
        <v>0</v>
      </c>
      <c r="I8" s="25" t="n"/>
      <c r="J8" s="21" t="n"/>
      <c r="K8" s="26">
        <f>COUNTIFS(Data!$T$2:$T$61,1,Data!$S$2:$S$61,"Yes",Data!$L$2:$L$61,"")</f>
        <v>15</v>
      </c>
      <c r="L8" s="25" t="n"/>
      <c r="M8" s="21" t="n"/>
      <c r="N8" s="27">
        <f>COUNTIFS(Data!$T$2:$T$61,1,Data!$L$2:$L$61,"&gt;0")</f>
        <v>33</v>
      </c>
      <c r="O8" s="25" t="n"/>
      <c r="P8" s="21" t="n"/>
      <c r="Q8" s="28">
        <f>IFERROR(SUMIFS(Data!$R$2:$R$61,Data!$T$2:$T$61,1)/SUM(Data!$T$2:$T$61),0)</f>
        <v>0</v>
      </c>
      <c r="R8" s="21" t="n"/>
    </row>
    <row r="9" ht="24" customHeight="1">
      <c r="C9" s="29" t="str">
        <f>"Whole programme"</f>
        <v>Whole programme</v>
      </c>
      <c r="D9" s="30" t="n"/>
      <c r="E9" s="31" t="str">
        <f>"of "&amp;SUM(Data!$T$2:$T$61)&amp;" have an entry"</f>
        <v>of 60 have an entry</v>
      </c>
      <c r="F9" s="32" t="str">
        <f>"a cause, a date or a check missing"</f>
        <v>a cause, a date or a check missing</v>
      </c>
      <c r="G9" s="30" t="n"/>
      <c r="H9" s="33" t="str">
        <f>"not finished, past the planned finish"</f>
        <v>not finished, past the planned finish</v>
      </c>
      <c r="I9" s="34" t="n"/>
      <c r="J9" s="30" t="n"/>
      <c r="K9" s="35" t="str">
        <f>"not finished"</f>
        <v>not finished</v>
      </c>
      <c r="L9" s="34" t="n"/>
      <c r="M9" s="30" t="n"/>
      <c r="N9" s="36" t="str">
        <f>"actual finish entered"</f>
        <v>actual finish entered</v>
      </c>
      <c r="O9" s="34" t="n"/>
      <c r="P9" s="30" t="n"/>
      <c r="Q9" s="37" t="str">
        <f>"of the activities chosen"</f>
        <v>of the activities chosen</v>
      </c>
      <c r="R9" s="30" t="n"/>
    </row>
    <row r="12">
      <c r="B12" s="38" t="inlineStr">
        <is>
          <t>Updates by person</t>
        </is>
      </c>
      <c r="E12" s="39" t="inlineStr">
        <is>
          <t>Click a name to open their sheet</t>
        </is>
      </c>
    </row>
    <row r="13" ht="30" customHeight="1">
      <c r="C13" s="40" t="inlineStr">
        <is>
          <t>Responsible Person</t>
        </is>
      </c>
      <c r="D13" s="41" t="inlineStr">
        <is>
          <t>Activities</t>
        </is>
      </c>
      <c r="E13" s="41" t="inlineStr">
        <is>
          <t>Updates in</t>
        </is>
      </c>
      <c r="F13" s="41" t="inlineStr">
        <is>
          <t>Need attention</t>
        </is>
      </c>
      <c r="G13" s="41" t="inlineStr">
        <is>
          <t>Late</t>
        </is>
      </c>
      <c r="H13" s="41" t="inlineStr">
        <is>
          <t>Critical</t>
        </is>
      </c>
      <c r="I13" s="41" t="inlineStr">
        <is>
          <t>Complete</t>
        </is>
      </c>
      <c r="J13" s="41" t="inlineStr">
        <is>
          <t>Return</t>
        </is>
      </c>
      <c r="S13" t="inlineStr">
        <is>
          <t>Updated</t>
        </is>
      </c>
      <c r="T13" t="inlineStr">
        <is>
          <t>Not yet</t>
        </is>
      </c>
    </row>
    <row r="14" ht="18" customHeight="1">
      <c r="C14" s="42" t="str">
        <f>HYPERLINK("#'Dan Lowe'!G10","Dan Lowe - Design Lead")</f>
        <v>Dan Lowe - Design Lead</v>
      </c>
      <c r="D14" s="43">
        <f>COUNTIFS(Data!$A$2:$A$61,"=Dan Lowe - Design Lead")</f>
        <v>19</v>
      </c>
      <c r="E14" s="44">
        <f>IFERROR(S14/D14,0)</f>
        <v>0</v>
      </c>
      <c r="F14" s="43">
        <f>COUNTIFS(Data!$A$2:$A$61,"=Dan Lowe - Design Lead",Data!$P$2:$P$61,"Reason needed")+COUNTIFS(Data!$A$2:$A$61,"=Dan Lowe - Design Lead",Data!$P$2:$P$61,"Start date needed")+COUNTIFS(Data!$A$2:$A$61,"=Dan Lowe - Design Lead",Data!$P$2:$P$61,"Finish date needed")+COUNTIFS(Data!$A$2:$A$61,"=Dan Lowe - Design Lead",Data!$P$2:$P$61,"Date in the future")</f>
        <v>0</v>
      </c>
      <c r="G14" s="43">
        <f>COUNTIFS(Data!$A$2:$A$61,"=Dan Lowe - Design Lead",Data!$O$2:$O$61,"&gt;0",Data!$L$2:$L$61,"")</f>
        <v>0</v>
      </c>
      <c r="H14" s="43">
        <f>COUNTIFS(Data!$A$2:$A$61,"=Dan Lowe - Design Lead",Data!$S$2:$S$61,"Yes",Data!$L$2:$L$61,"")</f>
        <v>0</v>
      </c>
      <c r="I14" s="43">
        <f>COUNTIFS(Data!$A$2:$A$61,"=Dan Lowe - Design Lead",Data!$L$2:$L$61,"&gt;0")</f>
        <v>19</v>
      </c>
      <c r="J14" s="45" t="str">
        <f>IF(D14=0,"",IF(S14&gt;=D14,"✓ All in",IF(S14&gt;0,S14&amp;" of "&amp;D14,"Waiting")))</f>
        <v>Waiting</v>
      </c>
      <c r="S14" s="43">
        <f>SUMIFS(Data!$R$2:$R$61,Data!$A$2:$A$61,"=Dan Lowe - Design Lead")</f>
        <v>0</v>
      </c>
      <c r="T14" s="43">
        <f>D14-S14</f>
        <v>19</v>
      </c>
    </row>
    <row r="15" ht="18" customHeight="1">
      <c r="C15" s="42" t="str">
        <f>HYPERLINK("#'Priya Menon'!G10","Priya Menon - Project Manager")</f>
        <v>Priya Menon - Project Manager</v>
      </c>
      <c r="D15" s="43">
        <f>COUNTIFS(Data!$A$2:$A$61,"=Priya Menon - Project Manager")</f>
        <v>2</v>
      </c>
      <c r="E15" s="44">
        <f>IFERROR(S15/D15,0)</f>
        <v>0</v>
      </c>
      <c r="F15" s="43">
        <f>COUNTIFS(Data!$A$2:$A$61,"=Priya Menon - Project Manager",Data!$P$2:$P$61,"Reason needed")+COUNTIFS(Data!$A$2:$A$61,"=Priya Menon - Project Manager",Data!$P$2:$P$61,"Start date needed")+COUNTIFS(Data!$A$2:$A$61,"=Priya Menon - Project Manager",Data!$P$2:$P$61,"Finish date needed")+COUNTIFS(Data!$A$2:$A$61,"=Priya Menon - Project Manager",Data!$P$2:$P$61,"Date in the future")</f>
        <v>0</v>
      </c>
      <c r="G15" s="43">
        <f>COUNTIFS(Data!$A$2:$A$61,"=Priya Menon - Project Manager",Data!$O$2:$O$61,"&gt;0",Data!$L$2:$L$61,"")</f>
        <v>0</v>
      </c>
      <c r="H15" s="43">
        <f>COUNTIFS(Data!$A$2:$A$61,"=Priya Menon - Project Manager",Data!$S$2:$S$61,"Yes",Data!$L$2:$L$61,"")</f>
        <v>0</v>
      </c>
      <c r="I15" s="43">
        <f>COUNTIFS(Data!$A$2:$A$61,"=Priya Menon - Project Manager",Data!$L$2:$L$61,"&gt;0")</f>
        <v>1</v>
      </c>
      <c r="J15" s="45" t="str">
        <f>IF(D15=0,"",IF(S15&gt;=D15,"✓ All in",IF(S15&gt;0,S15&amp;" of "&amp;D15,"Waiting")))</f>
        <v>Waiting</v>
      </c>
      <c r="S15" s="43">
        <f>SUMIFS(Data!$R$2:$R$61,Data!$A$2:$A$61,"=Priya Menon - Project Manager")</f>
        <v>0</v>
      </c>
      <c r="T15" s="43">
        <f>D15-S15</f>
        <v>2</v>
      </c>
    </row>
    <row r="16" ht="18" customHeight="1">
      <c r="C16" s="42" t="str">
        <f>HYPERLINK("#'Sara Moss'!G10","Sara Moss - Site Manager")</f>
        <v>Sara Moss - Site Manager</v>
      </c>
      <c r="D16" s="43">
        <f>COUNTIFS(Data!$A$2:$A$61,"=Sara Moss - Site Manager")</f>
        <v>20</v>
      </c>
      <c r="E16" s="44">
        <f>IFERROR(S16/D16,0)</f>
        <v>0</v>
      </c>
      <c r="F16" s="43">
        <f>COUNTIFS(Data!$A$2:$A$61,"=Sara Moss - Site Manager",Data!$P$2:$P$61,"Reason needed")+COUNTIFS(Data!$A$2:$A$61,"=Sara Moss - Site Manager",Data!$P$2:$P$61,"Start date needed")+COUNTIFS(Data!$A$2:$A$61,"=Sara Moss - Site Manager",Data!$P$2:$P$61,"Finish date needed")+COUNTIFS(Data!$A$2:$A$61,"=Sara Moss - Site Manager",Data!$P$2:$P$61,"Date in the future")</f>
        <v>2</v>
      </c>
      <c r="G16" s="43">
        <f>COUNTIFS(Data!$A$2:$A$61,"=Sara Moss - Site Manager",Data!$O$2:$O$61,"&gt;0",Data!$L$2:$L$61,"")</f>
        <v>0</v>
      </c>
      <c r="H16" s="43">
        <f>COUNTIFS(Data!$A$2:$A$61,"=Sara Moss - Site Manager",Data!$S$2:$S$61,"Yes",Data!$L$2:$L$61,"")</f>
        <v>7</v>
      </c>
      <c r="I16" s="43">
        <f>COUNTIFS(Data!$A$2:$A$61,"=Sara Moss - Site Manager",Data!$L$2:$L$61,"&gt;0")</f>
        <v>6</v>
      </c>
      <c r="J16" s="45" t="str">
        <f>IF(D16=0,"",IF(S16&gt;=D16,"✓ All in",IF(S16&gt;0,S16&amp;" of "&amp;D16,"Waiting")))</f>
        <v>Waiting</v>
      </c>
      <c r="S16" s="43">
        <f>SUMIFS(Data!$R$2:$R$61,Data!$A$2:$A$61,"=Sara Moss - Site Manager")</f>
        <v>0</v>
      </c>
      <c r="T16" s="43">
        <f>D16-S16</f>
        <v>20</v>
      </c>
    </row>
    <row r="17" ht="18" customHeight="1">
      <c r="C17" s="42" t="str">
        <f>HYPERLINK("#'Tom Reid'!G10","Tom Reid - Package Manager")</f>
        <v>Tom Reid - Package Manager</v>
      </c>
      <c r="D17" s="43">
        <f>COUNTIFS(Data!$A$2:$A$61,"=Tom Reid - Package Manager")</f>
        <v>19</v>
      </c>
      <c r="E17" s="44">
        <f>IFERROR(S17/D17,0)</f>
        <v>0</v>
      </c>
      <c r="F17" s="43">
        <f>COUNTIFS(Data!$A$2:$A$61,"=Tom Reid - Package Manager",Data!$P$2:$P$61,"Reason needed")+COUNTIFS(Data!$A$2:$A$61,"=Tom Reid - Package Manager",Data!$P$2:$P$61,"Start date needed")+COUNTIFS(Data!$A$2:$A$61,"=Tom Reid - Package Manager",Data!$P$2:$P$61,"Finish date needed")+COUNTIFS(Data!$A$2:$A$61,"=Tom Reid - Package Manager",Data!$P$2:$P$61,"Date in the future")</f>
        <v>1</v>
      </c>
      <c r="G17" s="43">
        <f>COUNTIFS(Data!$A$2:$A$61,"=Tom Reid - Package Manager",Data!$O$2:$O$61,"&gt;0",Data!$L$2:$L$61,"")</f>
        <v>0</v>
      </c>
      <c r="H17" s="43">
        <f>COUNTIFS(Data!$A$2:$A$61,"=Tom Reid - Package Manager",Data!$S$2:$S$61,"Yes",Data!$L$2:$L$61,"")</f>
        <v>8</v>
      </c>
      <c r="I17" s="43">
        <f>COUNTIFS(Data!$A$2:$A$61,"=Tom Reid - Package Manager",Data!$L$2:$L$61,"&gt;0")</f>
        <v>7</v>
      </c>
      <c r="J17" s="45" t="str">
        <f>IF(D17=0,"",IF(S17&gt;=D17,"✓ All in",IF(S17&gt;0,S17&amp;" of "&amp;D17,"Waiting")))</f>
        <v>Waiting</v>
      </c>
      <c r="S17" s="43">
        <f>SUMIFS(Data!$R$2:$R$61,Data!$A$2:$A$61,"=Tom Reid - Package Manager")</f>
        <v>0</v>
      </c>
      <c r="T17" s="43">
        <f>D17-S17</f>
        <v>19</v>
      </c>
    </row>
    <row r="18">
      <c r="C18" s="46" t="inlineStr">
        <is>
          <t>Everyone</t>
        </is>
      </c>
      <c r="D18" s="47">
        <f>SUM(D14:D17)</f>
        <v>60</v>
      </c>
      <c r="E18" s="48">
        <f>IFERROR(S18/D18,0)</f>
        <v>0</v>
      </c>
      <c r="F18" s="47">
        <f>SUM(F14:F17)</f>
        <v>3</v>
      </c>
      <c r="G18" s="47">
        <f>SUM(G14:G17)</f>
        <v>0</v>
      </c>
      <c r="H18" s="47">
        <f>SUM(H14:H17)</f>
        <v>15</v>
      </c>
      <c r="I18" s="47">
        <f>SUM(I14:I17)</f>
        <v>33</v>
      </c>
      <c r="J18" s="49" t="str">
        <f>S18&amp;" of "&amp;D18</f>
        <v>0 of 60</v>
      </c>
      <c r="S18">
        <f>SUM(S14:S17)</f>
        <v>0</v>
      </c>
    </row>
    <row r="25">
      <c r="B25" s="38" t="str">
        <f>"Activities  ·  "&amp;IF(Overview!$C$5="Everyone","everyone",Overview!$C$5)&amp;"  ·  "&amp;LOWER(Overview!$E$5)&amp;IF(Overview!$G$5&lt;&gt;"","  ·  matching """&amp;Overview!$G$5&amp;"""","")</f>
        <v>Activities  ·  everyone  ·  all activities</v>
      </c>
      <c r="R25" s="50" t="str">
        <f>"Showing "&amp;Data!$V$61&amp;" of 60"</f>
        <v>Showing 60 of 60</v>
      </c>
    </row>
    <row r="27" ht="30" customHeight="1">
      <c r="B27" s="41" t="inlineStr"/>
      <c r="C27" s="41" t="inlineStr">
        <is>
          <t>Person</t>
        </is>
      </c>
      <c r="D27" s="41" t="inlineStr">
        <is>
          <t>Activity ID</t>
        </is>
      </c>
      <c r="E27" s="41" t="inlineStr">
        <is>
          <t>Activity name</t>
        </is>
      </c>
      <c r="F27" s="41" t="inlineStr">
        <is>
          <t>WBS</t>
        </is>
      </c>
      <c r="G27" s="41" t="inlineStr">
        <is>
          <t>Status</t>
        </is>
      </c>
      <c r="H27" s="41" t="inlineStr">
        <is>
          <t>Start</t>
        </is>
      </c>
      <c r="I27" s="41" t="inlineStr">
        <is>
          <t>Finish</t>
        </is>
      </c>
      <c r="J27" s="41" t="inlineStr">
        <is>
          <t>Physical %</t>
        </is>
      </c>
      <c r="K27" s="51" t="inlineStr">
        <is>
          <t>Actual start</t>
        </is>
      </c>
      <c r="L27" s="51" t="inlineStr">
        <is>
          <t>Actual finish</t>
        </is>
      </c>
      <c r="M27" s="51" t="inlineStr">
        <is>
          <t>Actual %</t>
        </is>
      </c>
      <c r="N27" s="51" t="inlineStr">
        <is>
          <t>Expected finish</t>
        </is>
      </c>
      <c r="O27" s="41" t="inlineStr">
        <is>
          <t>Days late</t>
        </is>
      </c>
      <c r="P27" s="41" t="inlineStr">
        <is>
          <t>Check</t>
        </is>
      </c>
      <c r="Q27" s="51" t="inlineStr">
        <is>
          <t>Delay cause</t>
        </is>
      </c>
      <c r="R27" s="51" t="inlineStr">
        <is>
          <t>Notes</t>
        </is>
      </c>
    </row>
    <row r="28">
      <c r="B28" s="52" t="str">
        <f>IF($T28="","",HYPERLINK("#'"&amp;INDEX(Data!$B$2:$B$61,$T28)&amp;"'!G"&amp;INDEX(Data!$C$2:$C$61,$T28),"✎"))</f>
        <v>✎</v>
      </c>
      <c r="C28" s="53" t="str">
        <f>IF($T28="","",INDEX(Data!$A$2:$A$61,$T28))</f>
        <v>Dan Lowe - Design Lead</v>
      </c>
      <c r="D28" s="53" t="str">
        <f>IF($T28="","",INDEX(Data!$D$2:$D$61,$T28))</f>
        <v>A1010</v>
      </c>
      <c r="E28" s="53" t="str">
        <f>IF($T28="","Nothing matches - choose Everyone and All activities, or clear Find.",INDEX(Data!$E$2:$E$61,$T28))</f>
        <v>Design package 01</v>
      </c>
      <c r="F28" s="53" t="str">
        <f>IF($T28="","",INDEX(Data!$F$2:$F$61,$T28))</f>
        <v>Engineering</v>
      </c>
      <c r="G28" s="54" t="str">
        <f>IF($T28="","",INDEX(Data!$G$2:$G$61,$T28))</f>
        <v>Completed</v>
      </c>
      <c r="H28" s="55">
        <f>IF($T28="","",INDEX(Data!$H$2:$H$61,$T28))</f>
        <v>45296</v>
      </c>
      <c r="I28" s="55">
        <f>IF($T28="","",INDEX(Data!$I$2:$I$61,$T28))</f>
        <v>45307</v>
      </c>
      <c r="J28" s="56">
        <f>IF($T28="","",INDEX(Data!$J$2:$J$61,$T28))</f>
        <v>100</v>
      </c>
      <c r="K28" s="55">
        <f>IF($T28="","",INDEX(Data!$K$2:$K$61,$T28))</f>
        <v>45296</v>
      </c>
      <c r="L28" s="55">
        <f>IF($T28="","",INDEX(Data!$L$2:$L$61,$T28))</f>
        <v>45307</v>
      </c>
      <c r="M28" s="56" t="str">
        <f>IF($T28="","",INDEX(Data!$M$2:$M$61,$T28))</f>
        <v/>
      </c>
      <c r="N28" s="55" t="str">
        <f>IF($T28="","",INDEX(Data!$N$2:$N$61,$T28))</f>
        <v/>
      </c>
      <c r="O28" s="57">
        <f>IF($T28="","",INDEX(Data!$O$2:$O$61,$T28))</f>
        <v>0</v>
      </c>
      <c r="P28" s="54" t="str">
        <f>IF($T28="","",INDEX(Data!$P$2:$P$61,$T28))</f>
        <v>✓ Complete</v>
      </c>
      <c r="Q28" s="53" t="str">
        <f>IF($T28="","",INDEX(Data!$W$2:$W$61,$T28))</f>
        <v/>
      </c>
      <c r="R28" s="58" t="str">
        <f>IF($T28="","",INDEX(Data!$Q$2:$Q$61,$T28))</f>
        <v/>
      </c>
      <c r="S28">
        <f>IF($T28="","",INDEX(Data!$R$2:$R$61,$T28))</f>
        <v>0</v>
      </c>
      <c r="T28">
        <f>IFERROR(MATCH(1,Data!$V$2:$V$61,0),"")</f>
        <v>1</v>
      </c>
    </row>
    <row r="29">
      <c r="B29" s="52" t="str">
        <f>IF($T29="","",HYPERLINK("#'"&amp;INDEX(Data!$B$2:$B$61,$T29)&amp;"'!G"&amp;INDEX(Data!$C$2:$C$61,$T29),"✎"))</f>
        <v>✎</v>
      </c>
      <c r="C29" s="53" t="str">
        <f>IF($T29="","",INDEX(Data!$A$2:$A$61,$T29))</f>
        <v>Dan Lowe - Design Lead</v>
      </c>
      <c r="D29" s="53" t="str">
        <f>IF($T29="","",INDEX(Data!$D$2:$D$61,$T29))</f>
        <v>A1020</v>
      </c>
      <c r="E29" s="53" t="str">
        <f>IF($T29="","",INDEX(Data!$E$2:$E$61,$T29))</f>
        <v>Design package 02</v>
      </c>
      <c r="F29" s="53" t="str">
        <f>IF($T29="","",INDEX(Data!$F$2:$F$61,$T29))</f>
        <v>Engineering</v>
      </c>
      <c r="G29" s="54" t="str">
        <f>IF($T29="","",INDEX(Data!$G$2:$G$61,$T29))</f>
        <v>Completed</v>
      </c>
      <c r="H29" s="55">
        <f>IF($T29="","",INDEX(Data!$H$2:$H$61,$T29))</f>
        <v>45301</v>
      </c>
      <c r="I29" s="55">
        <f>IF($T29="","",INDEX(Data!$I$2:$I$61,$T29))</f>
        <v>45304</v>
      </c>
      <c r="J29" s="56">
        <f>IF($T29="","",INDEX(Data!$J$2:$J$61,$T29))</f>
        <v>100</v>
      </c>
      <c r="K29" s="55">
        <f>IF($T29="","",INDEX(Data!$K$2:$K$61,$T29))</f>
        <v>45301</v>
      </c>
      <c r="L29" s="55">
        <f>IF($T29="","",INDEX(Data!$L$2:$L$61,$T29))</f>
        <v>45304</v>
      </c>
      <c r="M29" s="56" t="str">
        <f>IF($T29="","",INDEX(Data!$M$2:$M$61,$T29))</f>
        <v/>
      </c>
      <c r="N29" s="55" t="str">
        <f>IF($T29="","",INDEX(Data!$N$2:$N$61,$T29))</f>
        <v/>
      </c>
      <c r="O29" s="57">
        <f>IF($T29="","",INDEX(Data!$O$2:$O$61,$T29))</f>
        <v>0</v>
      </c>
      <c r="P29" s="54" t="str">
        <f>IF($T29="","",INDEX(Data!$P$2:$P$61,$T29))</f>
        <v>✓ Complete</v>
      </c>
      <c r="Q29" s="53" t="str">
        <f>IF($T29="","",INDEX(Data!$W$2:$W$61,$T29))</f>
        <v/>
      </c>
      <c r="R29" s="58" t="str">
        <f>IF($T29="","",INDEX(Data!$Q$2:$Q$61,$T29))</f>
        <v/>
      </c>
      <c r="S29">
        <f>IF($T29="","",INDEX(Data!$R$2:$R$61,$T29))</f>
        <v>0</v>
      </c>
      <c r="T29">
        <f>IFERROR(MATCH(2,Data!$V$2:$V$61,0),"")</f>
        <v>2</v>
      </c>
    </row>
    <row r="30">
      <c r="B30" s="52" t="str">
        <f>IF($T30="","",HYPERLINK("#'"&amp;INDEX(Data!$B$2:$B$61,$T30)&amp;"'!G"&amp;INDEX(Data!$C$2:$C$61,$T30),"✎"))</f>
        <v>✎</v>
      </c>
      <c r="C30" s="53" t="str">
        <f>IF($T30="","",INDEX(Data!$A$2:$A$61,$T30))</f>
        <v>Dan Lowe - Design Lead</v>
      </c>
      <c r="D30" s="53" t="str">
        <f>IF($T30="","",INDEX(Data!$D$2:$D$61,$T30))</f>
        <v>A1030</v>
      </c>
      <c r="E30" s="53" t="str">
        <f>IF($T30="","",INDEX(Data!$E$2:$E$61,$T30))</f>
        <v>Design package 03</v>
      </c>
      <c r="F30" s="53" t="str">
        <f>IF($T30="","",INDEX(Data!$F$2:$F$61,$T30))</f>
        <v>Engineering</v>
      </c>
      <c r="G30" s="54" t="str">
        <f>IF($T30="","",INDEX(Data!$G$2:$G$61,$T30))</f>
        <v>Completed</v>
      </c>
      <c r="H30" s="55">
        <f>IF($T30="","",INDEX(Data!$H$2:$H$61,$T30))</f>
        <v>45302</v>
      </c>
      <c r="I30" s="55">
        <f>IF($T30="","",INDEX(Data!$I$2:$I$61,$T30))</f>
        <v>45309</v>
      </c>
      <c r="J30" s="56">
        <f>IF($T30="","",INDEX(Data!$J$2:$J$61,$T30))</f>
        <v>100</v>
      </c>
      <c r="K30" s="55">
        <f>IF($T30="","",INDEX(Data!$K$2:$K$61,$T30))</f>
        <v>45302</v>
      </c>
      <c r="L30" s="55">
        <f>IF($T30="","",INDEX(Data!$L$2:$L$61,$T30))</f>
        <v>45309</v>
      </c>
      <c r="M30" s="56" t="str">
        <f>IF($T30="","",INDEX(Data!$M$2:$M$61,$T30))</f>
        <v/>
      </c>
      <c r="N30" s="55" t="str">
        <f>IF($T30="","",INDEX(Data!$N$2:$N$61,$T30))</f>
        <v/>
      </c>
      <c r="O30" s="57">
        <f>IF($T30="","",INDEX(Data!$O$2:$O$61,$T30))</f>
        <v>0</v>
      </c>
      <c r="P30" s="54" t="str">
        <f>IF($T30="","",INDEX(Data!$P$2:$P$61,$T30))</f>
        <v>✓ Complete</v>
      </c>
      <c r="Q30" s="53" t="str">
        <f>IF($T30="","",INDEX(Data!$W$2:$W$61,$T30))</f>
        <v/>
      </c>
      <c r="R30" s="58" t="str">
        <f>IF($T30="","",INDEX(Data!$Q$2:$Q$61,$T30))</f>
        <v/>
      </c>
      <c r="S30">
        <f>IF($T30="","",INDEX(Data!$R$2:$R$61,$T30))</f>
        <v>0</v>
      </c>
      <c r="T30">
        <f>IFERROR(MATCH(3,Data!$V$2:$V$61,0),"")</f>
        <v>3</v>
      </c>
    </row>
    <row r="31">
      <c r="B31" s="52" t="str">
        <f>IF($T31="","",HYPERLINK("#'"&amp;INDEX(Data!$B$2:$B$61,$T31)&amp;"'!G"&amp;INDEX(Data!$C$2:$C$61,$T31),"✎"))</f>
        <v>✎</v>
      </c>
      <c r="C31" s="53" t="str">
        <f>IF($T31="","",INDEX(Data!$A$2:$A$61,$T31))</f>
        <v>Dan Lowe - Design Lead</v>
      </c>
      <c r="D31" s="53" t="str">
        <f>IF($T31="","",INDEX(Data!$D$2:$D$61,$T31))</f>
        <v>A1040</v>
      </c>
      <c r="E31" s="53" t="str">
        <f>IF($T31="","",INDEX(Data!$E$2:$E$61,$T31))</f>
        <v>Design package 04</v>
      </c>
      <c r="F31" s="53" t="str">
        <f>IF($T31="","",INDEX(Data!$F$2:$F$61,$T31))</f>
        <v>Engineering</v>
      </c>
      <c r="G31" s="54" t="str">
        <f>IF($T31="","",INDEX(Data!$G$2:$G$61,$T31))</f>
        <v>Completed</v>
      </c>
      <c r="H31" s="55">
        <f>IF($T31="","",INDEX(Data!$H$2:$H$61,$T31))</f>
        <v>45305</v>
      </c>
      <c r="I31" s="55">
        <f>IF($T31="","",INDEX(Data!$I$2:$I$61,$T31))</f>
        <v>45319</v>
      </c>
      <c r="J31" s="56">
        <f>IF($T31="","",INDEX(Data!$J$2:$J$61,$T31))</f>
        <v>100</v>
      </c>
      <c r="K31" s="55">
        <f>IF($T31="","",INDEX(Data!$K$2:$K$61,$T31))</f>
        <v>45305</v>
      </c>
      <c r="L31" s="55">
        <f>IF($T31="","",INDEX(Data!$L$2:$L$61,$T31))</f>
        <v>45319</v>
      </c>
      <c r="M31" s="56" t="str">
        <f>IF($T31="","",INDEX(Data!$M$2:$M$61,$T31))</f>
        <v/>
      </c>
      <c r="N31" s="55" t="str">
        <f>IF($T31="","",INDEX(Data!$N$2:$N$61,$T31))</f>
        <v/>
      </c>
      <c r="O31" s="57">
        <f>IF($T31="","",INDEX(Data!$O$2:$O$61,$T31))</f>
        <v>0</v>
      </c>
      <c r="P31" s="54" t="str">
        <f>IF($T31="","",INDEX(Data!$P$2:$P$61,$T31))</f>
        <v>✓ Complete</v>
      </c>
      <c r="Q31" s="53" t="str">
        <f>IF($T31="","",INDEX(Data!$W$2:$W$61,$T31))</f>
        <v/>
      </c>
      <c r="R31" s="58" t="str">
        <f>IF($T31="","",INDEX(Data!$Q$2:$Q$61,$T31))</f>
        <v/>
      </c>
      <c r="S31">
        <f>IF($T31="","",INDEX(Data!$R$2:$R$61,$T31))</f>
        <v>0</v>
      </c>
      <c r="T31">
        <f>IFERROR(MATCH(4,Data!$V$2:$V$61,0),"")</f>
        <v>4</v>
      </c>
    </row>
    <row r="32">
      <c r="B32" s="52" t="str">
        <f>IF($T32="","",HYPERLINK("#'"&amp;INDEX(Data!$B$2:$B$61,$T32)&amp;"'!G"&amp;INDEX(Data!$C$2:$C$61,$T32),"✎"))</f>
        <v>✎</v>
      </c>
      <c r="C32" s="53" t="str">
        <f>IF($T32="","",INDEX(Data!$A$2:$A$61,$T32))</f>
        <v>Dan Lowe - Design Lead</v>
      </c>
      <c r="D32" s="53" t="str">
        <f>IF($T32="","",INDEX(Data!$D$2:$D$61,$T32))</f>
        <v>A1050</v>
      </c>
      <c r="E32" s="53" t="str">
        <f>IF($T32="","",INDEX(Data!$E$2:$E$61,$T32))</f>
        <v>Design package 05</v>
      </c>
      <c r="F32" s="53" t="str">
        <f>IF($T32="","",INDEX(Data!$F$2:$F$61,$T32))</f>
        <v>Engineering</v>
      </c>
      <c r="G32" s="54" t="str">
        <f>IF($T32="","",INDEX(Data!$G$2:$G$61,$T32))</f>
        <v>Completed</v>
      </c>
      <c r="H32" s="55">
        <f>IF($T32="","",INDEX(Data!$H$2:$H$61,$T32))</f>
        <v>45312</v>
      </c>
      <c r="I32" s="55">
        <f>IF($T32="","",INDEX(Data!$I$2:$I$61,$T32))</f>
        <v>45315</v>
      </c>
      <c r="J32" s="56">
        <f>IF($T32="","",INDEX(Data!$J$2:$J$61,$T32))</f>
        <v>100</v>
      </c>
      <c r="K32" s="55">
        <f>IF($T32="","",INDEX(Data!$K$2:$K$61,$T32))</f>
        <v>45312</v>
      </c>
      <c r="L32" s="55">
        <f>IF($T32="","",INDEX(Data!$L$2:$L$61,$T32))</f>
        <v>45315</v>
      </c>
      <c r="M32" s="56" t="str">
        <f>IF($T32="","",INDEX(Data!$M$2:$M$61,$T32))</f>
        <v/>
      </c>
      <c r="N32" s="55" t="str">
        <f>IF($T32="","",INDEX(Data!$N$2:$N$61,$T32))</f>
        <v/>
      </c>
      <c r="O32" s="57">
        <f>IF($T32="","",INDEX(Data!$O$2:$O$61,$T32))</f>
        <v>0</v>
      </c>
      <c r="P32" s="54" t="str">
        <f>IF($T32="","",INDEX(Data!$P$2:$P$61,$T32))</f>
        <v>✓ Complete</v>
      </c>
      <c r="Q32" s="53" t="str">
        <f>IF($T32="","",INDEX(Data!$W$2:$W$61,$T32))</f>
        <v/>
      </c>
      <c r="R32" s="58" t="str">
        <f>IF($T32="","",INDEX(Data!$Q$2:$Q$61,$T32))</f>
        <v/>
      </c>
      <c r="S32">
        <f>IF($T32="","",INDEX(Data!$R$2:$R$61,$T32))</f>
        <v>0</v>
      </c>
      <c r="T32">
        <f>IFERROR(MATCH(5,Data!$V$2:$V$61,0),"")</f>
        <v>5</v>
      </c>
    </row>
    <row r="33">
      <c r="B33" s="52" t="str">
        <f>IF($T33="","",HYPERLINK("#'"&amp;INDEX(Data!$B$2:$B$61,$T33)&amp;"'!G"&amp;INDEX(Data!$C$2:$C$61,$T33),"✎"))</f>
        <v>✎</v>
      </c>
      <c r="C33" s="53" t="str">
        <f>IF($T33="","",INDEX(Data!$A$2:$A$61,$T33))</f>
        <v>Dan Lowe - Design Lead</v>
      </c>
      <c r="D33" s="53" t="str">
        <f>IF($T33="","",INDEX(Data!$D$2:$D$61,$T33))</f>
        <v>A1060</v>
      </c>
      <c r="E33" s="53" t="str">
        <f>IF($T33="","",INDEX(Data!$E$2:$E$61,$T33))</f>
        <v>Design package 06</v>
      </c>
      <c r="F33" s="53" t="str">
        <f>IF($T33="","",INDEX(Data!$F$2:$F$61,$T33))</f>
        <v>Engineering</v>
      </c>
      <c r="G33" s="54" t="str">
        <f>IF($T33="","",INDEX(Data!$G$2:$G$61,$T33))</f>
        <v>Completed</v>
      </c>
      <c r="H33" s="55">
        <f>IF($T33="","",INDEX(Data!$H$2:$H$61,$T33))</f>
        <v>45313</v>
      </c>
      <c r="I33" s="55">
        <f>IF($T33="","",INDEX(Data!$I$2:$I$61,$T33))</f>
        <v>45324</v>
      </c>
      <c r="J33" s="56">
        <f>IF($T33="","",INDEX(Data!$J$2:$J$61,$T33))</f>
        <v>100</v>
      </c>
      <c r="K33" s="55">
        <f>IF($T33="","",INDEX(Data!$K$2:$K$61,$T33))</f>
        <v>45313</v>
      </c>
      <c r="L33" s="55">
        <f>IF($T33="","",INDEX(Data!$L$2:$L$61,$T33))</f>
        <v>45324</v>
      </c>
      <c r="M33" s="56" t="str">
        <f>IF($T33="","",INDEX(Data!$M$2:$M$61,$T33))</f>
        <v/>
      </c>
      <c r="N33" s="55" t="str">
        <f>IF($T33="","",INDEX(Data!$N$2:$N$61,$T33))</f>
        <v/>
      </c>
      <c r="O33" s="57">
        <f>IF($T33="","",INDEX(Data!$O$2:$O$61,$T33))</f>
        <v>0</v>
      </c>
      <c r="P33" s="54" t="str">
        <f>IF($T33="","",INDEX(Data!$P$2:$P$61,$T33))</f>
        <v>✓ Complete</v>
      </c>
      <c r="Q33" s="53" t="str">
        <f>IF($T33="","",INDEX(Data!$W$2:$W$61,$T33))</f>
        <v/>
      </c>
      <c r="R33" s="58" t="str">
        <f>IF($T33="","",INDEX(Data!$Q$2:$Q$61,$T33))</f>
        <v/>
      </c>
      <c r="S33">
        <f>IF($T33="","",INDEX(Data!$R$2:$R$61,$T33))</f>
        <v>0</v>
      </c>
      <c r="T33">
        <f>IFERROR(MATCH(6,Data!$V$2:$V$61,0),"")</f>
        <v>6</v>
      </c>
    </row>
    <row r="34">
      <c r="B34" s="52" t="str">
        <f>IF($T34="","",HYPERLINK("#'"&amp;INDEX(Data!$B$2:$B$61,$T34)&amp;"'!G"&amp;INDEX(Data!$C$2:$C$61,$T34),"✎"))</f>
        <v>✎</v>
      </c>
      <c r="C34" s="53" t="str">
        <f>IF($T34="","",INDEX(Data!$A$2:$A$61,$T34))</f>
        <v>Dan Lowe - Design Lead</v>
      </c>
      <c r="D34" s="53" t="str">
        <f>IF($T34="","",INDEX(Data!$D$2:$D$61,$T34))</f>
        <v>A1070</v>
      </c>
      <c r="E34" s="53" t="str">
        <f>IF($T34="","",INDEX(Data!$E$2:$E$61,$T34))</f>
        <v>Design package 07</v>
      </c>
      <c r="F34" s="53" t="str">
        <f>IF($T34="","",INDEX(Data!$F$2:$F$61,$T34))</f>
        <v>Engineering</v>
      </c>
      <c r="G34" s="54" t="str">
        <f>IF($T34="","",INDEX(Data!$G$2:$G$61,$T34))</f>
        <v>Completed</v>
      </c>
      <c r="H34" s="55">
        <f>IF($T34="","",INDEX(Data!$H$2:$H$61,$T34))</f>
        <v>45318</v>
      </c>
      <c r="I34" s="55">
        <f>IF($T34="","",INDEX(Data!$I$2:$I$61,$T34))</f>
        <v>45321</v>
      </c>
      <c r="J34" s="56">
        <f>IF($T34="","",INDEX(Data!$J$2:$J$61,$T34))</f>
        <v>100</v>
      </c>
      <c r="K34" s="55">
        <f>IF($T34="","",INDEX(Data!$K$2:$K$61,$T34))</f>
        <v>45318</v>
      </c>
      <c r="L34" s="55">
        <f>IF($T34="","",INDEX(Data!$L$2:$L$61,$T34))</f>
        <v>45321</v>
      </c>
      <c r="M34" s="56" t="str">
        <f>IF($T34="","",INDEX(Data!$M$2:$M$61,$T34))</f>
        <v/>
      </c>
      <c r="N34" s="55" t="str">
        <f>IF($T34="","",INDEX(Data!$N$2:$N$61,$T34))</f>
        <v/>
      </c>
      <c r="O34" s="57">
        <f>IF($T34="","",INDEX(Data!$O$2:$O$61,$T34))</f>
        <v>0</v>
      </c>
      <c r="P34" s="54" t="str">
        <f>IF($T34="","",INDEX(Data!$P$2:$P$61,$T34))</f>
        <v>✓ Complete</v>
      </c>
      <c r="Q34" s="53" t="str">
        <f>IF($T34="","",INDEX(Data!$W$2:$W$61,$T34))</f>
        <v/>
      </c>
      <c r="R34" s="58" t="str">
        <f>IF($T34="","",INDEX(Data!$Q$2:$Q$61,$T34))</f>
        <v/>
      </c>
      <c r="S34">
        <f>IF($T34="","",INDEX(Data!$R$2:$R$61,$T34))</f>
        <v>0</v>
      </c>
      <c r="T34">
        <f>IFERROR(MATCH(7,Data!$V$2:$V$61,0),"")</f>
        <v>7</v>
      </c>
    </row>
    <row r="35">
      <c r="B35" s="52" t="str">
        <f>IF($T35="","",HYPERLINK("#'"&amp;INDEX(Data!$B$2:$B$61,$T35)&amp;"'!G"&amp;INDEX(Data!$C$2:$C$61,$T35),"✎"))</f>
        <v>✎</v>
      </c>
      <c r="C35" s="53" t="str">
        <f>IF($T35="","",INDEX(Data!$A$2:$A$61,$T35))</f>
        <v>Dan Lowe - Design Lead</v>
      </c>
      <c r="D35" s="53" t="str">
        <f>IF($T35="","",INDEX(Data!$D$2:$D$61,$T35))</f>
        <v>A1080</v>
      </c>
      <c r="E35" s="53" t="str">
        <f>IF($T35="","",INDEX(Data!$E$2:$E$61,$T35))</f>
        <v>Design package 08</v>
      </c>
      <c r="F35" s="53" t="str">
        <f>IF($T35="","",INDEX(Data!$F$2:$F$61,$T35))</f>
        <v>Engineering</v>
      </c>
      <c r="G35" s="54" t="str">
        <f>IF($T35="","",INDEX(Data!$G$2:$G$61,$T35))</f>
        <v>Completed</v>
      </c>
      <c r="H35" s="55">
        <f>IF($T35="","",INDEX(Data!$H$2:$H$61,$T35))</f>
        <v>45319</v>
      </c>
      <c r="I35" s="55">
        <f>IF($T35="","",INDEX(Data!$I$2:$I$61,$T35))</f>
        <v>45322</v>
      </c>
      <c r="J35" s="56">
        <f>IF($T35="","",INDEX(Data!$J$2:$J$61,$T35))</f>
        <v>100</v>
      </c>
      <c r="K35" s="55">
        <f>IF($T35="","",INDEX(Data!$K$2:$K$61,$T35))</f>
        <v>45319</v>
      </c>
      <c r="L35" s="55">
        <f>IF($T35="","",INDEX(Data!$L$2:$L$61,$T35))</f>
        <v>45322</v>
      </c>
      <c r="M35" s="56" t="str">
        <f>IF($T35="","",INDEX(Data!$M$2:$M$61,$T35))</f>
        <v/>
      </c>
      <c r="N35" s="55" t="str">
        <f>IF($T35="","",INDEX(Data!$N$2:$N$61,$T35))</f>
        <v/>
      </c>
      <c r="O35" s="57">
        <f>IF($T35="","",INDEX(Data!$O$2:$O$61,$T35))</f>
        <v>0</v>
      </c>
      <c r="P35" s="54" t="str">
        <f>IF($T35="","",INDEX(Data!$P$2:$P$61,$T35))</f>
        <v>✓ Complete</v>
      </c>
      <c r="Q35" s="53" t="str">
        <f>IF($T35="","",INDEX(Data!$W$2:$W$61,$T35))</f>
        <v/>
      </c>
      <c r="R35" s="58" t="str">
        <f>IF($T35="","",INDEX(Data!$Q$2:$Q$61,$T35))</f>
        <v/>
      </c>
      <c r="S35">
        <f>IF($T35="","",INDEX(Data!$R$2:$R$61,$T35))</f>
        <v>0</v>
      </c>
      <c r="T35">
        <f>IFERROR(MATCH(8,Data!$V$2:$V$61,0),"")</f>
        <v>8</v>
      </c>
    </row>
    <row r="36">
      <c r="B36" s="52" t="str">
        <f>IF($T36="","",HYPERLINK("#'"&amp;INDEX(Data!$B$2:$B$61,$T36)&amp;"'!G"&amp;INDEX(Data!$C$2:$C$61,$T36),"✎"))</f>
        <v>✎</v>
      </c>
      <c r="C36" s="53" t="str">
        <f>IF($T36="","",INDEX(Data!$A$2:$A$61,$T36))</f>
        <v>Dan Lowe - Design Lead</v>
      </c>
      <c r="D36" s="53" t="str">
        <f>IF($T36="","",INDEX(Data!$D$2:$D$61,$T36))</f>
        <v>A1090</v>
      </c>
      <c r="E36" s="53" t="str">
        <f>IF($T36="","",INDEX(Data!$E$2:$E$61,$T36))</f>
        <v>Design package 09</v>
      </c>
      <c r="F36" s="53" t="str">
        <f>IF($T36="","",INDEX(Data!$F$2:$F$61,$T36))</f>
        <v>Engineering</v>
      </c>
      <c r="G36" s="54" t="str">
        <f>IF($T36="","",INDEX(Data!$G$2:$G$61,$T36))</f>
        <v>Completed</v>
      </c>
      <c r="H36" s="55">
        <f>IF($T36="","",INDEX(Data!$H$2:$H$61,$T36))</f>
        <v>45320</v>
      </c>
      <c r="I36" s="55">
        <f>IF($T36="","",INDEX(Data!$I$2:$I$61,$T36))</f>
        <v>45323</v>
      </c>
      <c r="J36" s="56">
        <f>IF($T36="","",INDEX(Data!$J$2:$J$61,$T36))</f>
        <v>100</v>
      </c>
      <c r="K36" s="55">
        <f>IF($T36="","",INDEX(Data!$K$2:$K$61,$T36))</f>
        <v>45320</v>
      </c>
      <c r="L36" s="55">
        <f>IF($T36="","",INDEX(Data!$L$2:$L$61,$T36))</f>
        <v>45323</v>
      </c>
      <c r="M36" s="56" t="str">
        <f>IF($T36="","",INDEX(Data!$M$2:$M$61,$T36))</f>
        <v/>
      </c>
      <c r="N36" s="55" t="str">
        <f>IF($T36="","",INDEX(Data!$N$2:$N$61,$T36))</f>
        <v/>
      </c>
      <c r="O36" s="57">
        <f>IF($T36="","",INDEX(Data!$O$2:$O$61,$T36))</f>
        <v>0</v>
      </c>
      <c r="P36" s="54" t="str">
        <f>IF($T36="","",INDEX(Data!$P$2:$P$61,$T36))</f>
        <v>✓ Complete</v>
      </c>
      <c r="Q36" s="53" t="str">
        <f>IF($T36="","",INDEX(Data!$W$2:$W$61,$T36))</f>
        <v/>
      </c>
      <c r="R36" s="58" t="str">
        <f>IF($T36="","",INDEX(Data!$Q$2:$Q$61,$T36))</f>
        <v/>
      </c>
      <c r="S36">
        <f>IF($T36="","",INDEX(Data!$R$2:$R$61,$T36))</f>
        <v>0</v>
      </c>
      <c r="T36">
        <f>IFERROR(MATCH(9,Data!$V$2:$V$61,0),"")</f>
        <v>9</v>
      </c>
    </row>
    <row r="37">
      <c r="B37" s="52" t="str">
        <f>IF($T37="","",HYPERLINK("#'"&amp;INDEX(Data!$B$2:$B$61,$T37)&amp;"'!G"&amp;INDEX(Data!$C$2:$C$61,$T37),"✎"))</f>
        <v>✎</v>
      </c>
      <c r="C37" s="53" t="str">
        <f>IF($T37="","",INDEX(Data!$A$2:$A$61,$T37))</f>
        <v>Dan Lowe - Design Lead</v>
      </c>
      <c r="D37" s="53" t="str">
        <f>IF($T37="","",INDEX(Data!$D$2:$D$61,$T37))</f>
        <v>A1100</v>
      </c>
      <c r="E37" s="53" t="str">
        <f>IF($T37="","",INDEX(Data!$E$2:$E$61,$T37))</f>
        <v>Design package 10</v>
      </c>
      <c r="F37" s="53" t="str">
        <f>IF($T37="","",INDEX(Data!$F$2:$F$61,$T37))</f>
        <v>Engineering</v>
      </c>
      <c r="G37" s="54" t="str">
        <f>IF($T37="","",INDEX(Data!$G$2:$G$61,$T37))</f>
        <v>Completed</v>
      </c>
      <c r="H37" s="55">
        <f>IF($T37="","",INDEX(Data!$H$2:$H$61,$T37))</f>
        <v>45321</v>
      </c>
      <c r="I37" s="55">
        <f>IF($T37="","",INDEX(Data!$I$2:$I$61,$T37))</f>
        <v>45325</v>
      </c>
      <c r="J37" s="56">
        <f>IF($T37="","",INDEX(Data!$J$2:$J$61,$T37))</f>
        <v>100</v>
      </c>
      <c r="K37" s="55">
        <f>IF($T37="","",INDEX(Data!$K$2:$K$61,$T37))</f>
        <v>45321</v>
      </c>
      <c r="L37" s="55">
        <f>IF($T37="","",INDEX(Data!$L$2:$L$61,$T37))</f>
        <v>45325</v>
      </c>
      <c r="M37" s="56" t="str">
        <f>IF($T37="","",INDEX(Data!$M$2:$M$61,$T37))</f>
        <v/>
      </c>
      <c r="N37" s="55" t="str">
        <f>IF($T37="","",INDEX(Data!$N$2:$N$61,$T37))</f>
        <v/>
      </c>
      <c r="O37" s="57">
        <f>IF($T37="","",INDEX(Data!$O$2:$O$61,$T37))</f>
        <v>0</v>
      </c>
      <c r="P37" s="54" t="str">
        <f>IF($T37="","",INDEX(Data!$P$2:$P$61,$T37))</f>
        <v>✓ Complete</v>
      </c>
      <c r="Q37" s="53" t="str">
        <f>IF($T37="","",INDEX(Data!$W$2:$W$61,$T37))</f>
        <v/>
      </c>
      <c r="R37" s="58" t="str">
        <f>IF($T37="","",INDEX(Data!$Q$2:$Q$61,$T37))</f>
        <v/>
      </c>
      <c r="S37">
        <f>IF($T37="","",INDEX(Data!$R$2:$R$61,$T37))</f>
        <v>0</v>
      </c>
      <c r="T37">
        <f>IFERROR(MATCH(10,Data!$V$2:$V$61,0),"")</f>
        <v>10</v>
      </c>
    </row>
    <row r="38">
      <c r="B38" s="52" t="str">
        <f>IF($T38="","",HYPERLINK("#'"&amp;INDEX(Data!$B$2:$B$61,$T38)&amp;"'!G"&amp;INDEX(Data!$C$2:$C$61,$T38),"✎"))</f>
        <v>✎</v>
      </c>
      <c r="C38" s="53" t="str">
        <f>IF($T38="","",INDEX(Data!$A$2:$A$61,$T38))</f>
        <v>Dan Lowe - Design Lead</v>
      </c>
      <c r="D38" s="53" t="str">
        <f>IF($T38="","",INDEX(Data!$D$2:$D$61,$T38))</f>
        <v>A1110</v>
      </c>
      <c r="E38" s="53" t="str">
        <f>IF($T38="","",INDEX(Data!$E$2:$E$61,$T38))</f>
        <v>Design package 11</v>
      </c>
      <c r="F38" s="53" t="str">
        <f>IF($T38="","",INDEX(Data!$F$2:$F$61,$T38))</f>
        <v>Engineering</v>
      </c>
      <c r="G38" s="54" t="str">
        <f>IF($T38="","",INDEX(Data!$G$2:$G$61,$T38))</f>
        <v>Completed</v>
      </c>
      <c r="H38" s="55">
        <f>IF($T38="","",INDEX(Data!$H$2:$H$61,$T38))</f>
        <v>45323</v>
      </c>
      <c r="I38" s="55">
        <f>IF($T38="","",INDEX(Data!$I$2:$I$61,$T38))</f>
        <v>45337</v>
      </c>
      <c r="J38" s="56">
        <f>IF($T38="","",INDEX(Data!$J$2:$J$61,$T38))</f>
        <v>100</v>
      </c>
      <c r="K38" s="55">
        <f>IF($T38="","",INDEX(Data!$K$2:$K$61,$T38))</f>
        <v>45323</v>
      </c>
      <c r="L38" s="55">
        <f>IF($T38="","",INDEX(Data!$L$2:$L$61,$T38))</f>
        <v>45337</v>
      </c>
      <c r="M38" s="56" t="str">
        <f>IF($T38="","",INDEX(Data!$M$2:$M$61,$T38))</f>
        <v/>
      </c>
      <c r="N38" s="55" t="str">
        <f>IF($T38="","",INDEX(Data!$N$2:$N$61,$T38))</f>
        <v/>
      </c>
      <c r="O38" s="57">
        <f>IF($T38="","",INDEX(Data!$O$2:$O$61,$T38))</f>
        <v>0</v>
      </c>
      <c r="P38" s="54" t="str">
        <f>IF($T38="","",INDEX(Data!$P$2:$P$61,$T38))</f>
        <v>✓ Complete</v>
      </c>
      <c r="Q38" s="53" t="str">
        <f>IF($T38="","",INDEX(Data!$W$2:$W$61,$T38))</f>
        <v/>
      </c>
      <c r="R38" s="58" t="str">
        <f>IF($T38="","",INDEX(Data!$Q$2:$Q$61,$T38))</f>
        <v/>
      </c>
      <c r="S38">
        <f>IF($T38="","",INDEX(Data!$R$2:$R$61,$T38))</f>
        <v>0</v>
      </c>
      <c r="T38">
        <f>IFERROR(MATCH(11,Data!$V$2:$V$61,0),"")</f>
        <v>11</v>
      </c>
    </row>
    <row r="39">
      <c r="B39" s="52" t="str">
        <f>IF($T39="","",HYPERLINK("#'"&amp;INDEX(Data!$B$2:$B$61,$T39)&amp;"'!G"&amp;INDEX(Data!$C$2:$C$61,$T39),"✎"))</f>
        <v>✎</v>
      </c>
      <c r="C39" s="53" t="str">
        <f>IF($T39="","",INDEX(Data!$A$2:$A$61,$T39))</f>
        <v>Dan Lowe - Design Lead</v>
      </c>
      <c r="D39" s="53" t="str">
        <f>IF($T39="","",INDEX(Data!$D$2:$D$61,$T39))</f>
        <v>A1120</v>
      </c>
      <c r="E39" s="53" t="str">
        <f>IF($T39="","",INDEX(Data!$E$2:$E$61,$T39))</f>
        <v>Design package 12</v>
      </c>
      <c r="F39" s="53" t="str">
        <f>IF($T39="","",INDEX(Data!$F$2:$F$61,$T39))</f>
        <v>Engineering</v>
      </c>
      <c r="G39" s="54" t="str">
        <f>IF($T39="","",INDEX(Data!$G$2:$G$61,$T39))</f>
        <v>Completed</v>
      </c>
      <c r="H39" s="55">
        <f>IF($T39="","",INDEX(Data!$H$2:$H$61,$T39))</f>
        <v>45330</v>
      </c>
      <c r="I39" s="55">
        <f>IF($T39="","",INDEX(Data!$I$2:$I$61,$T39))</f>
        <v>45333</v>
      </c>
      <c r="J39" s="56">
        <f>IF($T39="","",INDEX(Data!$J$2:$J$61,$T39))</f>
        <v>100</v>
      </c>
      <c r="K39" s="55">
        <f>IF($T39="","",INDEX(Data!$K$2:$K$61,$T39))</f>
        <v>45330</v>
      </c>
      <c r="L39" s="55">
        <f>IF($T39="","",INDEX(Data!$L$2:$L$61,$T39))</f>
        <v>45333</v>
      </c>
      <c r="M39" s="56" t="str">
        <f>IF($T39="","",INDEX(Data!$M$2:$M$61,$T39))</f>
        <v/>
      </c>
      <c r="N39" s="55" t="str">
        <f>IF($T39="","",INDEX(Data!$N$2:$N$61,$T39))</f>
        <v/>
      </c>
      <c r="O39" s="57">
        <f>IF($T39="","",INDEX(Data!$O$2:$O$61,$T39))</f>
        <v>0</v>
      </c>
      <c r="P39" s="54" t="str">
        <f>IF($T39="","",INDEX(Data!$P$2:$P$61,$T39))</f>
        <v>✓ Complete</v>
      </c>
      <c r="Q39" s="53" t="str">
        <f>IF($T39="","",INDEX(Data!$W$2:$W$61,$T39))</f>
        <v/>
      </c>
      <c r="R39" s="58" t="str">
        <f>IF($T39="","",INDEX(Data!$Q$2:$Q$61,$T39))</f>
        <v/>
      </c>
      <c r="S39">
        <f>IF($T39="","",INDEX(Data!$R$2:$R$61,$T39))</f>
        <v>0</v>
      </c>
      <c r="T39">
        <f>IFERROR(MATCH(12,Data!$V$2:$V$61,0),"")</f>
        <v>12</v>
      </c>
    </row>
    <row r="40">
      <c r="B40" s="52" t="str">
        <f>IF($T40="","",HYPERLINK("#'"&amp;INDEX(Data!$B$2:$B$61,$T40)&amp;"'!G"&amp;INDEX(Data!$C$2:$C$61,$T40),"✎"))</f>
        <v>✎</v>
      </c>
      <c r="C40" s="53" t="str">
        <f>IF($T40="","",INDEX(Data!$A$2:$A$61,$T40))</f>
        <v>Dan Lowe - Design Lead</v>
      </c>
      <c r="D40" s="53" t="str">
        <f>IF($T40="","",INDEX(Data!$D$2:$D$61,$T40))</f>
        <v>A1130</v>
      </c>
      <c r="E40" s="53" t="str">
        <f>IF($T40="","",INDEX(Data!$E$2:$E$61,$T40))</f>
        <v>Design package 13</v>
      </c>
      <c r="F40" s="53" t="str">
        <f>IF($T40="","",INDEX(Data!$F$2:$F$61,$T40))</f>
        <v>Engineering</v>
      </c>
      <c r="G40" s="54" t="str">
        <f>IF($T40="","",INDEX(Data!$G$2:$G$61,$T40))</f>
        <v>Completed</v>
      </c>
      <c r="H40" s="55">
        <f>IF($T40="","",INDEX(Data!$H$2:$H$61,$T40))</f>
        <v>45331</v>
      </c>
      <c r="I40" s="55">
        <f>IF($T40="","",INDEX(Data!$I$2:$I$61,$T40))</f>
        <v>45334</v>
      </c>
      <c r="J40" s="56">
        <f>IF($T40="","",INDEX(Data!$J$2:$J$61,$T40))</f>
        <v>100</v>
      </c>
      <c r="K40" s="55">
        <f>IF($T40="","",INDEX(Data!$K$2:$K$61,$T40))</f>
        <v>45331</v>
      </c>
      <c r="L40" s="55">
        <f>IF($T40="","",INDEX(Data!$L$2:$L$61,$T40))</f>
        <v>45334</v>
      </c>
      <c r="M40" s="56" t="str">
        <f>IF($T40="","",INDEX(Data!$M$2:$M$61,$T40))</f>
        <v/>
      </c>
      <c r="N40" s="55" t="str">
        <f>IF($T40="","",INDEX(Data!$N$2:$N$61,$T40))</f>
        <v/>
      </c>
      <c r="O40" s="57">
        <f>IF($T40="","",INDEX(Data!$O$2:$O$61,$T40))</f>
        <v>0</v>
      </c>
      <c r="P40" s="54" t="str">
        <f>IF($T40="","",INDEX(Data!$P$2:$P$61,$T40))</f>
        <v>✓ Complete</v>
      </c>
      <c r="Q40" s="53" t="str">
        <f>IF($T40="","",INDEX(Data!$W$2:$W$61,$T40))</f>
        <v/>
      </c>
      <c r="R40" s="58" t="str">
        <f>IF($T40="","",INDEX(Data!$Q$2:$Q$61,$T40))</f>
        <v/>
      </c>
      <c r="S40">
        <f>IF($T40="","",INDEX(Data!$R$2:$R$61,$T40))</f>
        <v>0</v>
      </c>
      <c r="T40">
        <f>IFERROR(MATCH(13,Data!$V$2:$V$61,0),"")</f>
        <v>13</v>
      </c>
    </row>
    <row r="41">
      <c r="B41" s="52" t="str">
        <f>IF($T41="","",HYPERLINK("#'"&amp;INDEX(Data!$B$2:$B$61,$T41)&amp;"'!G"&amp;INDEX(Data!$C$2:$C$61,$T41),"✎"))</f>
        <v>✎</v>
      </c>
      <c r="C41" s="53" t="str">
        <f>IF($T41="","",INDEX(Data!$A$2:$A$61,$T41))</f>
        <v>Dan Lowe - Design Lead</v>
      </c>
      <c r="D41" s="53" t="str">
        <f>IF($T41="","",INDEX(Data!$D$2:$D$61,$T41))</f>
        <v>A1140</v>
      </c>
      <c r="E41" s="53" t="str">
        <f>IF($T41="","",INDEX(Data!$E$2:$E$61,$T41))</f>
        <v>Design package 14</v>
      </c>
      <c r="F41" s="53" t="str">
        <f>IF($T41="","",INDEX(Data!$F$2:$F$61,$T41))</f>
        <v>Engineering</v>
      </c>
      <c r="G41" s="54" t="str">
        <f>IF($T41="","",INDEX(Data!$G$2:$G$61,$T41))</f>
        <v>Completed</v>
      </c>
      <c r="H41" s="55">
        <f>IF($T41="","",INDEX(Data!$H$2:$H$61,$T41))</f>
        <v>45332</v>
      </c>
      <c r="I41" s="55">
        <f>IF($T41="","",INDEX(Data!$I$2:$I$61,$T41))</f>
        <v>45339</v>
      </c>
      <c r="J41" s="56">
        <f>IF($T41="","",INDEX(Data!$J$2:$J$61,$T41))</f>
        <v>100</v>
      </c>
      <c r="K41" s="55">
        <f>IF($T41="","",INDEX(Data!$K$2:$K$61,$T41))</f>
        <v>45332</v>
      </c>
      <c r="L41" s="55">
        <f>IF($T41="","",INDEX(Data!$L$2:$L$61,$T41))</f>
        <v>45339</v>
      </c>
      <c r="M41" s="56" t="str">
        <f>IF($T41="","",INDEX(Data!$M$2:$M$61,$T41))</f>
        <v/>
      </c>
      <c r="N41" s="55" t="str">
        <f>IF($T41="","",INDEX(Data!$N$2:$N$61,$T41))</f>
        <v/>
      </c>
      <c r="O41" s="57">
        <f>IF($T41="","",INDEX(Data!$O$2:$O$61,$T41))</f>
        <v>0</v>
      </c>
      <c r="P41" s="54" t="str">
        <f>IF($T41="","",INDEX(Data!$P$2:$P$61,$T41))</f>
        <v>✓ Complete</v>
      </c>
      <c r="Q41" s="53" t="str">
        <f>IF($T41="","",INDEX(Data!$W$2:$W$61,$T41))</f>
        <v/>
      </c>
      <c r="R41" s="58" t="str">
        <f>IF($T41="","",INDEX(Data!$Q$2:$Q$61,$T41))</f>
        <v/>
      </c>
      <c r="S41">
        <f>IF($T41="","",INDEX(Data!$R$2:$R$61,$T41))</f>
        <v>0</v>
      </c>
      <c r="T41">
        <f>IFERROR(MATCH(14,Data!$V$2:$V$61,0),"")</f>
        <v>14</v>
      </c>
    </row>
    <row r="42">
      <c r="B42" s="52" t="str">
        <f>IF($T42="","",HYPERLINK("#'"&amp;INDEX(Data!$B$2:$B$61,$T42)&amp;"'!G"&amp;INDEX(Data!$C$2:$C$61,$T42),"✎"))</f>
        <v>✎</v>
      </c>
      <c r="C42" s="53" t="str">
        <f>IF($T42="","",INDEX(Data!$A$2:$A$61,$T42))</f>
        <v>Dan Lowe - Design Lead</v>
      </c>
      <c r="D42" s="53" t="str">
        <f>IF($T42="","",INDEX(Data!$D$2:$D$61,$T42))</f>
        <v>A1150</v>
      </c>
      <c r="E42" s="53" t="str">
        <f>IF($T42="","",INDEX(Data!$E$2:$E$61,$T42))</f>
        <v>Design package 15</v>
      </c>
      <c r="F42" s="53" t="str">
        <f>IF($T42="","",INDEX(Data!$F$2:$F$61,$T42))</f>
        <v>Engineering</v>
      </c>
      <c r="G42" s="54" t="str">
        <f>IF($T42="","",INDEX(Data!$G$2:$G$61,$T42))</f>
        <v>Completed</v>
      </c>
      <c r="H42" s="55">
        <f>IF($T42="","",INDEX(Data!$H$2:$H$61,$T42))</f>
        <v>45335</v>
      </c>
      <c r="I42" s="55">
        <f>IF($T42="","",INDEX(Data!$I$2:$I$61,$T42))</f>
        <v>45339</v>
      </c>
      <c r="J42" s="56">
        <f>IF($T42="","",INDEX(Data!$J$2:$J$61,$T42))</f>
        <v>100</v>
      </c>
      <c r="K42" s="55">
        <f>IF($T42="","",INDEX(Data!$K$2:$K$61,$T42))</f>
        <v>45335</v>
      </c>
      <c r="L42" s="55">
        <f>IF($T42="","",INDEX(Data!$L$2:$L$61,$T42))</f>
        <v>45339</v>
      </c>
      <c r="M42" s="56" t="str">
        <f>IF($T42="","",INDEX(Data!$M$2:$M$61,$T42))</f>
        <v/>
      </c>
      <c r="N42" s="55" t="str">
        <f>IF($T42="","",INDEX(Data!$N$2:$N$61,$T42))</f>
        <v/>
      </c>
      <c r="O42" s="57">
        <f>IF($T42="","",INDEX(Data!$O$2:$O$61,$T42))</f>
        <v>0</v>
      </c>
      <c r="P42" s="54" t="str">
        <f>IF($T42="","",INDEX(Data!$P$2:$P$61,$T42))</f>
        <v>✓ Complete</v>
      </c>
      <c r="Q42" s="53" t="str">
        <f>IF($T42="","",INDEX(Data!$W$2:$W$61,$T42))</f>
        <v/>
      </c>
      <c r="R42" s="58" t="str">
        <f>IF($T42="","",INDEX(Data!$Q$2:$Q$61,$T42))</f>
        <v/>
      </c>
      <c r="S42">
        <f>IF($T42="","",INDEX(Data!$R$2:$R$61,$T42))</f>
        <v>0</v>
      </c>
      <c r="T42">
        <f>IFERROR(MATCH(15,Data!$V$2:$V$61,0),"")</f>
        <v>15</v>
      </c>
    </row>
    <row r="43">
      <c r="B43" s="52" t="str">
        <f>IF($T43="","",HYPERLINK("#'"&amp;INDEX(Data!$B$2:$B$61,$T43)&amp;"'!G"&amp;INDEX(Data!$C$2:$C$61,$T43),"✎"))</f>
        <v>✎</v>
      </c>
      <c r="C43" s="53" t="str">
        <f>IF($T43="","",INDEX(Data!$A$2:$A$61,$T43))</f>
        <v>Dan Lowe - Design Lead</v>
      </c>
      <c r="D43" s="53" t="str">
        <f>IF($T43="","",INDEX(Data!$D$2:$D$61,$T43))</f>
        <v>A1160</v>
      </c>
      <c r="E43" s="53" t="str">
        <f>IF($T43="","",INDEX(Data!$E$2:$E$61,$T43))</f>
        <v>Design package 16</v>
      </c>
      <c r="F43" s="53" t="str">
        <f>IF($T43="","",INDEX(Data!$F$2:$F$61,$T43))</f>
        <v>Engineering</v>
      </c>
      <c r="G43" s="54" t="str">
        <f>IF($T43="","",INDEX(Data!$G$2:$G$61,$T43))</f>
        <v>Completed</v>
      </c>
      <c r="H43" s="55">
        <f>IF($T43="","",INDEX(Data!$H$2:$H$61,$T43))</f>
        <v>45337</v>
      </c>
      <c r="I43" s="55">
        <f>IF($T43="","",INDEX(Data!$I$2:$I$61,$T43))</f>
        <v>45351</v>
      </c>
      <c r="J43" s="56">
        <f>IF($T43="","",INDEX(Data!$J$2:$J$61,$T43))</f>
        <v>100</v>
      </c>
      <c r="K43" s="55">
        <f>IF($T43="","",INDEX(Data!$K$2:$K$61,$T43))</f>
        <v>45337</v>
      </c>
      <c r="L43" s="55">
        <f>IF($T43="","",INDEX(Data!$L$2:$L$61,$T43))</f>
        <v>45351</v>
      </c>
      <c r="M43" s="56" t="str">
        <f>IF($T43="","",INDEX(Data!$M$2:$M$61,$T43))</f>
        <v/>
      </c>
      <c r="N43" s="55" t="str">
        <f>IF($T43="","",INDEX(Data!$N$2:$N$61,$T43))</f>
        <v/>
      </c>
      <c r="O43" s="57">
        <f>IF($T43="","",INDEX(Data!$O$2:$O$61,$T43))</f>
        <v>0</v>
      </c>
      <c r="P43" s="54" t="str">
        <f>IF($T43="","",INDEX(Data!$P$2:$P$61,$T43))</f>
        <v>✓ Complete</v>
      </c>
      <c r="Q43" s="53" t="str">
        <f>IF($T43="","",INDEX(Data!$W$2:$W$61,$T43))</f>
        <v/>
      </c>
      <c r="R43" s="58" t="str">
        <f>IF($T43="","",INDEX(Data!$Q$2:$Q$61,$T43))</f>
        <v/>
      </c>
      <c r="S43">
        <f>IF($T43="","",INDEX(Data!$R$2:$R$61,$T43))</f>
        <v>0</v>
      </c>
      <c r="T43">
        <f>IFERROR(MATCH(16,Data!$V$2:$V$61,0),"")</f>
        <v>16</v>
      </c>
    </row>
    <row r="44">
      <c r="B44" s="52" t="str">
        <f>IF($T44="","",HYPERLINK("#'"&amp;INDEX(Data!$B$2:$B$61,$T44)&amp;"'!G"&amp;INDEX(Data!$C$2:$C$61,$T44),"✎"))</f>
        <v>✎</v>
      </c>
      <c r="C44" s="53" t="str">
        <f>IF($T44="","",INDEX(Data!$A$2:$A$61,$T44))</f>
        <v>Dan Lowe - Design Lead</v>
      </c>
      <c r="D44" s="53" t="str">
        <f>IF($T44="","",INDEX(Data!$D$2:$D$61,$T44))</f>
        <v>A1170</v>
      </c>
      <c r="E44" s="53" t="str">
        <f>IF($T44="","",INDEX(Data!$E$2:$E$61,$T44))</f>
        <v>Design package 17</v>
      </c>
      <c r="F44" s="53" t="str">
        <f>IF($T44="","",INDEX(Data!$F$2:$F$61,$T44))</f>
        <v>Engineering</v>
      </c>
      <c r="G44" s="54" t="str">
        <f>IF($T44="","",INDEX(Data!$G$2:$G$61,$T44))</f>
        <v>Completed</v>
      </c>
      <c r="H44" s="55">
        <f>IF($T44="","",INDEX(Data!$H$2:$H$61,$T44))</f>
        <v>45344</v>
      </c>
      <c r="I44" s="55">
        <f>IF($T44="","",INDEX(Data!$I$2:$I$61,$T44))</f>
        <v>45358</v>
      </c>
      <c r="J44" s="56">
        <f>IF($T44="","",INDEX(Data!$J$2:$J$61,$T44))</f>
        <v>100</v>
      </c>
      <c r="K44" s="55">
        <f>IF($T44="","",INDEX(Data!$K$2:$K$61,$T44))</f>
        <v>45344</v>
      </c>
      <c r="L44" s="55">
        <f>IF($T44="","",INDEX(Data!$L$2:$L$61,$T44))</f>
        <v>45358</v>
      </c>
      <c r="M44" s="56" t="str">
        <f>IF($T44="","",INDEX(Data!$M$2:$M$61,$T44))</f>
        <v/>
      </c>
      <c r="N44" s="55" t="str">
        <f>IF($T44="","",INDEX(Data!$N$2:$N$61,$T44))</f>
        <v/>
      </c>
      <c r="O44" s="57">
        <f>IF($T44="","",INDEX(Data!$O$2:$O$61,$T44))</f>
        <v>0</v>
      </c>
      <c r="P44" s="54" t="str">
        <f>IF($T44="","",INDEX(Data!$P$2:$P$61,$T44))</f>
        <v>✓ Complete</v>
      </c>
      <c r="Q44" s="53" t="str">
        <f>IF($T44="","",INDEX(Data!$W$2:$W$61,$T44))</f>
        <v/>
      </c>
      <c r="R44" s="58" t="str">
        <f>IF($T44="","",INDEX(Data!$Q$2:$Q$61,$T44))</f>
        <v/>
      </c>
      <c r="S44">
        <f>IF($T44="","",INDEX(Data!$R$2:$R$61,$T44))</f>
        <v>0</v>
      </c>
      <c r="T44">
        <f>IFERROR(MATCH(17,Data!$V$2:$V$61,0),"")</f>
        <v>17</v>
      </c>
    </row>
    <row r="45">
      <c r="B45" s="52" t="str">
        <f>IF($T45="","",HYPERLINK("#'"&amp;INDEX(Data!$B$2:$B$61,$T45)&amp;"'!G"&amp;INDEX(Data!$C$2:$C$61,$T45),"✎"))</f>
        <v>✎</v>
      </c>
      <c r="C45" s="53" t="str">
        <f>IF($T45="","",INDEX(Data!$A$2:$A$61,$T45))</f>
        <v>Dan Lowe - Design Lead</v>
      </c>
      <c r="D45" s="53" t="str">
        <f>IF($T45="","",INDEX(Data!$D$2:$D$61,$T45))</f>
        <v>A1180</v>
      </c>
      <c r="E45" s="53" t="str">
        <f>IF($T45="","",INDEX(Data!$E$2:$E$61,$T45))</f>
        <v>Design package 18</v>
      </c>
      <c r="F45" s="53" t="str">
        <f>IF($T45="","",INDEX(Data!$F$2:$F$61,$T45))</f>
        <v>Engineering</v>
      </c>
      <c r="G45" s="54" t="str">
        <f>IF($T45="","",INDEX(Data!$G$2:$G$61,$T45))</f>
        <v>Completed</v>
      </c>
      <c r="H45" s="55">
        <f>IF($T45="","",INDEX(Data!$H$2:$H$61,$T45))</f>
        <v>45351</v>
      </c>
      <c r="I45" s="55">
        <f>IF($T45="","",INDEX(Data!$I$2:$I$61,$T45))</f>
        <v>45354</v>
      </c>
      <c r="J45" s="56">
        <f>IF($T45="","",INDEX(Data!$J$2:$J$61,$T45))</f>
        <v>100</v>
      </c>
      <c r="K45" s="55">
        <f>IF($T45="","",INDEX(Data!$K$2:$K$61,$T45))</f>
        <v>45351</v>
      </c>
      <c r="L45" s="55">
        <f>IF($T45="","",INDEX(Data!$L$2:$L$61,$T45))</f>
        <v>45354</v>
      </c>
      <c r="M45" s="56" t="str">
        <f>IF($T45="","",INDEX(Data!$M$2:$M$61,$T45))</f>
        <v/>
      </c>
      <c r="N45" s="55" t="str">
        <f>IF($T45="","",INDEX(Data!$N$2:$N$61,$T45))</f>
        <v/>
      </c>
      <c r="O45" s="57">
        <f>IF($T45="","",INDEX(Data!$O$2:$O$61,$T45))</f>
        <v>0</v>
      </c>
      <c r="P45" s="54" t="str">
        <f>IF($T45="","",INDEX(Data!$P$2:$P$61,$T45))</f>
        <v>✓ Complete</v>
      </c>
      <c r="Q45" s="53" t="str">
        <f>IF($T45="","",INDEX(Data!$W$2:$W$61,$T45))</f>
        <v/>
      </c>
      <c r="R45" s="58" t="str">
        <f>IF($T45="","",INDEX(Data!$Q$2:$Q$61,$T45))</f>
        <v/>
      </c>
      <c r="S45">
        <f>IF($T45="","",INDEX(Data!$R$2:$R$61,$T45))</f>
        <v>0</v>
      </c>
      <c r="T45">
        <f>IFERROR(MATCH(18,Data!$V$2:$V$61,0),"")</f>
        <v>18</v>
      </c>
    </row>
    <row r="46">
      <c r="B46" s="52" t="str">
        <f>IF($T46="","",HYPERLINK("#'"&amp;INDEX(Data!$B$2:$B$61,$T46)&amp;"'!G"&amp;INDEX(Data!$C$2:$C$61,$T46),"✎"))</f>
        <v>✎</v>
      </c>
      <c r="C46" s="53" t="str">
        <f>IF($T46="","",INDEX(Data!$A$2:$A$61,$T46))</f>
        <v>Dan Lowe - Design Lead</v>
      </c>
      <c r="D46" s="53" t="str">
        <f>IF($T46="","",INDEX(Data!$D$2:$D$61,$T46))</f>
        <v>A1190</v>
      </c>
      <c r="E46" s="53" t="str">
        <f>IF($T46="","",INDEX(Data!$E$2:$E$61,$T46))</f>
        <v>Design package 19</v>
      </c>
      <c r="F46" s="53" t="str">
        <f>IF($T46="","",INDEX(Data!$F$2:$F$61,$T46))</f>
        <v>Engineering</v>
      </c>
      <c r="G46" s="54" t="str">
        <f>IF($T46="","",INDEX(Data!$G$2:$G$61,$T46))</f>
        <v>Completed</v>
      </c>
      <c r="H46" s="55">
        <f>IF($T46="","",INDEX(Data!$H$2:$H$61,$T46))</f>
        <v>45352</v>
      </c>
      <c r="I46" s="55">
        <f>IF($T46="","",INDEX(Data!$I$2:$I$61,$T46))</f>
        <v>45359</v>
      </c>
      <c r="J46" s="56">
        <f>IF($T46="","",INDEX(Data!$J$2:$J$61,$T46))</f>
        <v>100</v>
      </c>
      <c r="K46" s="55">
        <f>IF($T46="","",INDEX(Data!$K$2:$K$61,$T46))</f>
        <v>45352</v>
      </c>
      <c r="L46" s="55">
        <f>IF($T46="","",INDEX(Data!$L$2:$L$61,$T46))</f>
        <v>45359</v>
      </c>
      <c r="M46" s="56" t="str">
        <f>IF($T46="","",INDEX(Data!$M$2:$M$61,$T46))</f>
        <v/>
      </c>
      <c r="N46" s="55" t="str">
        <f>IF($T46="","",INDEX(Data!$N$2:$N$61,$T46))</f>
        <v/>
      </c>
      <c r="O46" s="57">
        <f>IF($T46="","",INDEX(Data!$O$2:$O$61,$T46))</f>
        <v>0</v>
      </c>
      <c r="P46" s="54" t="str">
        <f>IF($T46="","",INDEX(Data!$P$2:$P$61,$T46))</f>
        <v>✓ Complete</v>
      </c>
      <c r="Q46" s="53" t="str">
        <f>IF($T46="","",INDEX(Data!$W$2:$W$61,$T46))</f>
        <v/>
      </c>
      <c r="R46" s="58" t="str">
        <f>IF($T46="","",INDEX(Data!$Q$2:$Q$61,$T46))</f>
        <v/>
      </c>
      <c r="S46">
        <f>IF($T46="","",INDEX(Data!$R$2:$R$61,$T46))</f>
        <v>0</v>
      </c>
      <c r="T46">
        <f>IFERROR(MATCH(19,Data!$V$2:$V$61,0),"")</f>
        <v>19</v>
      </c>
    </row>
    <row r="47">
      <c r="B47" s="52" t="str">
        <f>IF($T47="","",HYPERLINK("#'"&amp;INDEX(Data!$B$2:$B$61,$T47)&amp;"'!G"&amp;INDEX(Data!$C$2:$C$61,$T47),"✎"))</f>
        <v>✎</v>
      </c>
      <c r="C47" s="53" t="str">
        <f>IF($T47="","",INDEX(Data!$A$2:$A$61,$T47))</f>
        <v>Priya Menon - Project Manager</v>
      </c>
      <c r="D47" s="53" t="str">
        <f>IF($T47="","",INDEX(Data!$D$2:$D$61,$T47))</f>
        <v>A1000</v>
      </c>
      <c r="E47" s="53" t="str">
        <f>IF($T47="","",INDEX(Data!$E$2:$E$61,$T47))</f>
        <v>Design package 00</v>
      </c>
      <c r="F47" s="53" t="str">
        <f>IF($T47="","",INDEX(Data!$F$2:$F$61,$T47))</f>
        <v>Engineering</v>
      </c>
      <c r="G47" s="54" t="str">
        <f>IF($T47="","",INDEX(Data!$G$2:$G$61,$T47))</f>
        <v>Completed</v>
      </c>
      <c r="H47" s="55">
        <f>IF($T47="","",INDEX(Data!$H$2:$H$61,$T47))</f>
        <v>45293</v>
      </c>
      <c r="I47" s="55">
        <f>IF($T47="","",INDEX(Data!$I$2:$I$61,$T47))</f>
        <v>45300</v>
      </c>
      <c r="J47" s="56">
        <f>IF($T47="","",INDEX(Data!$J$2:$J$61,$T47))</f>
        <v>100</v>
      </c>
      <c r="K47" s="55">
        <f>IF($T47="","",INDEX(Data!$K$2:$K$61,$T47))</f>
        <v>45293</v>
      </c>
      <c r="L47" s="55">
        <f>IF($T47="","",INDEX(Data!$L$2:$L$61,$T47))</f>
        <v>45300</v>
      </c>
      <c r="M47" s="56" t="str">
        <f>IF($T47="","",INDEX(Data!$M$2:$M$61,$T47))</f>
        <v/>
      </c>
      <c r="N47" s="55" t="str">
        <f>IF($T47="","",INDEX(Data!$N$2:$N$61,$T47))</f>
        <v/>
      </c>
      <c r="O47" s="57">
        <f>IF($T47="","",INDEX(Data!$O$2:$O$61,$T47))</f>
        <v>0</v>
      </c>
      <c r="P47" s="54" t="str">
        <f>IF($T47="","",INDEX(Data!$P$2:$P$61,$T47))</f>
        <v>✓ Complete</v>
      </c>
      <c r="Q47" s="53" t="str">
        <f>IF($T47="","",INDEX(Data!$W$2:$W$61,$T47))</f>
        <v/>
      </c>
      <c r="R47" s="58" t="str">
        <f>IF($T47="","",INDEX(Data!$Q$2:$Q$61,$T47))</f>
        <v/>
      </c>
      <c r="S47">
        <f>IF($T47="","",INDEX(Data!$R$2:$R$61,$T47))</f>
        <v>0</v>
      </c>
      <c r="T47">
        <f>IFERROR(MATCH(20,Data!$V$2:$V$61,0),"")</f>
        <v>20</v>
      </c>
    </row>
    <row r="48">
      <c r="B48" s="52" t="str">
        <f>IF($T48="","",HYPERLINK("#'"&amp;INDEX(Data!$B$2:$B$61,$T48)&amp;"'!G"&amp;INDEX(Data!$C$2:$C$61,$T48),"✎"))</f>
        <v>✎</v>
      </c>
      <c r="C48" s="53" t="str">
        <f>IF($T48="","",INDEX(Data!$A$2:$A$61,$T48))</f>
        <v>Priya Menon - Project Manager</v>
      </c>
      <c r="D48" s="53" t="str">
        <f>IF($T48="","",INDEX(Data!$D$2:$D$61,$T48))</f>
        <v>A1590</v>
      </c>
      <c r="E48" s="53" t="str">
        <f>IF($T48="","",INDEX(Data!$E$2:$E$61,$T48))</f>
        <v>Build package 59</v>
      </c>
      <c r="F48" s="53" t="str">
        <f>IF($T48="","",INDEX(Data!$F$2:$F$61,$T48))</f>
        <v>Construction</v>
      </c>
      <c r="G48" s="54" t="str">
        <f>IF($T48="","",INDEX(Data!$G$2:$G$61,$T48))</f>
        <v>Not Started</v>
      </c>
      <c r="H48" s="55">
        <f>IF($T48="","",INDEX(Data!$H$2:$H$61,$T48))</f>
        <v>45660</v>
      </c>
      <c r="I48" s="55">
        <f>IF($T48="","",INDEX(Data!$I$2:$I$61,$T48))</f>
        <v>45681</v>
      </c>
      <c r="J48" s="56">
        <f>IF($T48="","",INDEX(Data!$J$2:$J$61,$T48))</f>
        <v>0</v>
      </c>
      <c r="K48" s="55" t="str">
        <f>IF($T48="","",INDEX(Data!$K$2:$K$61,$T48))</f>
        <v/>
      </c>
      <c r="L48" s="55" t="str">
        <f>IF($T48="","",INDEX(Data!$L$2:$L$61,$T48))</f>
        <v/>
      </c>
      <c r="M48" s="56" t="str">
        <f>IF($T48="","",INDEX(Data!$M$2:$M$61,$T48))</f>
        <v/>
      </c>
      <c r="N48" s="55" t="str">
        <f>IF($T48="","",INDEX(Data!$N$2:$N$61,$T48))</f>
        <v/>
      </c>
      <c r="O48" s="57">
        <f>IF($T48="","",INDEX(Data!$O$2:$O$61,$T48))</f>
        <v>0</v>
      </c>
      <c r="P48" s="54" t="str">
        <f>IF($T48="","",INDEX(Data!$P$2:$P$61,$T48))</f>
        <v>Not changed yet</v>
      </c>
      <c r="Q48" s="53" t="str">
        <f>IF($T48="","",INDEX(Data!$W$2:$W$61,$T48))</f>
        <v/>
      </c>
      <c r="R48" s="58" t="str">
        <f>IF($T48="","",INDEX(Data!$Q$2:$Q$61,$T48))</f>
        <v/>
      </c>
      <c r="S48">
        <f>IF($T48="","",INDEX(Data!$R$2:$R$61,$T48))</f>
        <v>0</v>
      </c>
      <c r="T48">
        <f>IFERROR(MATCH(21,Data!$V$2:$V$61,0),"")</f>
        <v>21</v>
      </c>
    </row>
    <row r="49">
      <c r="B49" s="52" t="str">
        <f>IF($T49="","",HYPERLINK("#'"&amp;INDEX(Data!$B$2:$B$61,$T49)&amp;"'!G"&amp;INDEX(Data!$C$2:$C$61,$T49),"✎"))</f>
        <v>✎</v>
      </c>
      <c r="C49" s="53" t="str">
        <f>IF($T49="","",INDEX(Data!$A$2:$A$61,$T49))</f>
        <v>Sara Moss - Site Manager</v>
      </c>
      <c r="D49" s="53" t="str">
        <f>IF($T49="","",INDEX(Data!$D$2:$D$61,$T49))</f>
        <v>A1200</v>
      </c>
      <c r="E49" s="53" t="str">
        <f>IF($T49="","",INDEX(Data!$E$2:$E$61,$T49))</f>
        <v>Build package 20</v>
      </c>
      <c r="F49" s="53" t="str">
        <f>IF($T49="","",INDEX(Data!$F$2:$F$61,$T49))</f>
        <v>Construction</v>
      </c>
      <c r="G49" s="54" t="str">
        <f>IF($T49="","",INDEX(Data!$G$2:$G$61,$T49))</f>
        <v>Completed</v>
      </c>
      <c r="H49" s="55">
        <f>IF($T49="","",INDEX(Data!$H$2:$H$61,$T49))</f>
        <v>45355</v>
      </c>
      <c r="I49" s="55">
        <f>IF($T49="","",INDEX(Data!$I$2:$I$61,$T49))</f>
        <v>45369</v>
      </c>
      <c r="J49" s="56">
        <f>IF($T49="","",INDEX(Data!$J$2:$J$61,$T49))</f>
        <v>100</v>
      </c>
      <c r="K49" s="55">
        <f>IF($T49="","",INDEX(Data!$K$2:$K$61,$T49))</f>
        <v>45355</v>
      </c>
      <c r="L49" s="55">
        <f>IF($T49="","",INDEX(Data!$L$2:$L$61,$T49))</f>
        <v>45369</v>
      </c>
      <c r="M49" s="56" t="str">
        <f>IF($T49="","",INDEX(Data!$M$2:$M$61,$T49))</f>
        <v/>
      </c>
      <c r="N49" s="55" t="str">
        <f>IF($T49="","",INDEX(Data!$N$2:$N$61,$T49))</f>
        <v/>
      </c>
      <c r="O49" s="57">
        <f>IF($T49="","",INDEX(Data!$O$2:$O$61,$T49))</f>
        <v>0</v>
      </c>
      <c r="P49" s="54" t="str">
        <f>IF($T49="","",INDEX(Data!$P$2:$P$61,$T49))</f>
        <v>✓ Complete</v>
      </c>
      <c r="Q49" s="53" t="str">
        <f>IF($T49="","",INDEX(Data!$W$2:$W$61,$T49))</f>
        <v/>
      </c>
      <c r="R49" s="58" t="str">
        <f>IF($T49="","",INDEX(Data!$Q$2:$Q$61,$T49))</f>
        <v/>
      </c>
      <c r="S49">
        <f>IF($T49="","",INDEX(Data!$R$2:$R$61,$T49))</f>
        <v>0</v>
      </c>
      <c r="T49">
        <f>IFERROR(MATCH(22,Data!$V$2:$V$61,0),"")</f>
        <v>22</v>
      </c>
    </row>
    <row r="50">
      <c r="B50" s="52" t="str">
        <f>IF($T50="","",HYPERLINK("#'"&amp;INDEX(Data!$B$2:$B$61,$T50)&amp;"'!G"&amp;INDEX(Data!$C$2:$C$61,$T50),"✎"))</f>
        <v>✎</v>
      </c>
      <c r="C50" s="53" t="str">
        <f>IF($T50="","",INDEX(Data!$A$2:$A$61,$T50))</f>
        <v>Sara Moss - Site Manager</v>
      </c>
      <c r="D50" s="53" t="str">
        <f>IF($T50="","",INDEX(Data!$D$2:$D$61,$T50))</f>
        <v>A1220</v>
      </c>
      <c r="E50" s="53" t="str">
        <f>IF($T50="","",INDEX(Data!$E$2:$E$61,$T50))</f>
        <v>Build package 22</v>
      </c>
      <c r="F50" s="53" t="str">
        <f>IF($T50="","",INDEX(Data!$F$2:$F$61,$T50))</f>
        <v>Construction</v>
      </c>
      <c r="G50" s="54" t="str">
        <f>IF($T50="","",INDEX(Data!$G$2:$G$61,$T50))</f>
        <v>Completed</v>
      </c>
      <c r="H50" s="55">
        <f>IF($T50="","",INDEX(Data!$H$2:$H$61,$T50))</f>
        <v>45369</v>
      </c>
      <c r="I50" s="55">
        <f>IF($T50="","",INDEX(Data!$I$2:$I$61,$T50))</f>
        <v>45383</v>
      </c>
      <c r="J50" s="56">
        <f>IF($T50="","",INDEX(Data!$J$2:$J$61,$T50))</f>
        <v>100</v>
      </c>
      <c r="K50" s="55">
        <f>IF($T50="","",INDEX(Data!$K$2:$K$61,$T50))</f>
        <v>45369</v>
      </c>
      <c r="L50" s="55">
        <f>IF($T50="","",INDEX(Data!$L$2:$L$61,$T50))</f>
        <v>45383</v>
      </c>
      <c r="M50" s="56" t="str">
        <f>IF($T50="","",INDEX(Data!$M$2:$M$61,$T50))</f>
        <v/>
      </c>
      <c r="N50" s="55" t="str">
        <f>IF($T50="","",INDEX(Data!$N$2:$N$61,$T50))</f>
        <v/>
      </c>
      <c r="O50" s="57">
        <f>IF($T50="","",INDEX(Data!$O$2:$O$61,$T50))</f>
        <v>0</v>
      </c>
      <c r="P50" s="54" t="str">
        <f>IF($T50="","",INDEX(Data!$P$2:$P$61,$T50))</f>
        <v>✓ Complete</v>
      </c>
      <c r="Q50" s="53" t="str">
        <f>IF($T50="","",INDEX(Data!$W$2:$W$61,$T50))</f>
        <v/>
      </c>
      <c r="R50" s="58" t="str">
        <f>IF($T50="","",INDEX(Data!$Q$2:$Q$61,$T50))</f>
        <v/>
      </c>
      <c r="S50">
        <f>IF($T50="","",INDEX(Data!$R$2:$R$61,$T50))</f>
        <v>0</v>
      </c>
      <c r="T50">
        <f>IFERROR(MATCH(23,Data!$V$2:$V$61,0),"")</f>
        <v>23</v>
      </c>
    </row>
    <row r="51">
      <c r="B51" s="52" t="str">
        <f>IF($T51="","",HYPERLINK("#'"&amp;INDEX(Data!$B$2:$B$61,$T51)&amp;"'!G"&amp;INDEX(Data!$C$2:$C$61,$T51),"✎"))</f>
        <v>✎</v>
      </c>
      <c r="C51" s="53" t="str">
        <f>IF($T51="","",INDEX(Data!$A$2:$A$61,$T51))</f>
        <v>Sara Moss - Site Manager</v>
      </c>
      <c r="D51" s="53" t="str">
        <f>IF($T51="","",INDEX(Data!$D$2:$D$61,$T51))</f>
        <v>A1240</v>
      </c>
      <c r="E51" s="53" t="str">
        <f>IF($T51="","",INDEX(Data!$E$2:$E$61,$T51))</f>
        <v>Build package 24</v>
      </c>
      <c r="F51" s="53" t="str">
        <f>IF($T51="","",INDEX(Data!$F$2:$F$61,$T51))</f>
        <v>Construction</v>
      </c>
      <c r="G51" s="54" t="str">
        <f>IF($T51="","",INDEX(Data!$G$2:$G$61,$T51))</f>
        <v>Completed</v>
      </c>
      <c r="H51" s="55">
        <f>IF($T51="","",INDEX(Data!$H$2:$H$61,$T51))</f>
        <v>45381</v>
      </c>
      <c r="I51" s="55">
        <f>IF($T51="","",INDEX(Data!$I$2:$I$61,$T51))</f>
        <v>45451</v>
      </c>
      <c r="J51" s="56">
        <f>IF($T51="","",INDEX(Data!$J$2:$J$61,$T51))</f>
        <v>100</v>
      </c>
      <c r="K51" s="55">
        <f>IF($T51="","",INDEX(Data!$K$2:$K$61,$T51))</f>
        <v>45381</v>
      </c>
      <c r="L51" s="55">
        <f>IF($T51="","",INDEX(Data!$L$2:$L$61,$T51))</f>
        <v>45451</v>
      </c>
      <c r="M51" s="56" t="str">
        <f>IF($T51="","",INDEX(Data!$M$2:$M$61,$T51))</f>
        <v/>
      </c>
      <c r="N51" s="55" t="str">
        <f>IF($T51="","",INDEX(Data!$N$2:$N$61,$T51))</f>
        <v/>
      </c>
      <c r="O51" s="57">
        <f>IF($T51="","",INDEX(Data!$O$2:$O$61,$T51))</f>
        <v>0</v>
      </c>
      <c r="P51" s="54" t="str">
        <f>IF($T51="","",INDEX(Data!$P$2:$P$61,$T51))</f>
        <v>✓ Complete</v>
      </c>
      <c r="Q51" s="53" t="str">
        <f>IF($T51="","",INDEX(Data!$W$2:$W$61,$T51))</f>
        <v/>
      </c>
      <c r="R51" s="58" t="str">
        <f>IF($T51="","",INDEX(Data!$Q$2:$Q$61,$T51))</f>
        <v/>
      </c>
      <c r="S51">
        <f>IF($T51="","",INDEX(Data!$R$2:$R$61,$T51))</f>
        <v>0</v>
      </c>
      <c r="T51">
        <f>IFERROR(MATCH(24,Data!$V$2:$V$61,0),"")</f>
        <v>24</v>
      </c>
    </row>
    <row r="52">
      <c r="B52" s="52" t="str">
        <f>IF($T52="","",HYPERLINK("#'"&amp;INDEX(Data!$B$2:$B$61,$T52)&amp;"'!G"&amp;INDEX(Data!$C$2:$C$61,$T52),"✎"))</f>
        <v>✎</v>
      </c>
      <c r="C52" s="53" t="str">
        <f>IF($T52="","",INDEX(Data!$A$2:$A$61,$T52))</f>
        <v>Sara Moss - Site Manager</v>
      </c>
      <c r="D52" s="53" t="str">
        <f>IF($T52="","",INDEX(Data!$D$2:$D$61,$T52))</f>
        <v>A1260</v>
      </c>
      <c r="E52" s="53" t="str">
        <f>IF($T52="","",INDEX(Data!$E$2:$E$61,$T52))</f>
        <v>Build package 26</v>
      </c>
      <c r="F52" s="53" t="str">
        <f>IF($T52="","",INDEX(Data!$F$2:$F$61,$T52))</f>
        <v>Construction</v>
      </c>
      <c r="G52" s="54" t="str">
        <f>IF($T52="","",INDEX(Data!$G$2:$G$61,$T52))</f>
        <v>Completed</v>
      </c>
      <c r="H52" s="55">
        <f>IF($T52="","",INDEX(Data!$H$2:$H$61,$T52))</f>
        <v>45421</v>
      </c>
      <c r="I52" s="55">
        <f>IF($T52="","",INDEX(Data!$I$2:$I$61,$T52))</f>
        <v>45428</v>
      </c>
      <c r="J52" s="56">
        <f>IF($T52="","",INDEX(Data!$J$2:$J$61,$T52))</f>
        <v>100</v>
      </c>
      <c r="K52" s="55">
        <f>IF($T52="","",INDEX(Data!$K$2:$K$61,$T52))</f>
        <v>45421</v>
      </c>
      <c r="L52" s="55">
        <f>IF($T52="","",INDEX(Data!$L$2:$L$61,$T52))</f>
        <v>45428</v>
      </c>
      <c r="M52" s="56" t="str">
        <f>IF($T52="","",INDEX(Data!$M$2:$M$61,$T52))</f>
        <v/>
      </c>
      <c r="N52" s="55" t="str">
        <f>IF($T52="","",INDEX(Data!$N$2:$N$61,$T52))</f>
        <v/>
      </c>
      <c r="O52" s="57">
        <f>IF($T52="","",INDEX(Data!$O$2:$O$61,$T52))</f>
        <v>0</v>
      </c>
      <c r="P52" s="54" t="str">
        <f>IF($T52="","",INDEX(Data!$P$2:$P$61,$T52))</f>
        <v>✓ Complete</v>
      </c>
      <c r="Q52" s="53" t="str">
        <f>IF($T52="","",INDEX(Data!$W$2:$W$61,$T52))</f>
        <v/>
      </c>
      <c r="R52" s="58" t="str">
        <f>IF($T52="","",INDEX(Data!$Q$2:$Q$61,$T52))</f>
        <v/>
      </c>
      <c r="S52">
        <f>IF($T52="","",INDEX(Data!$R$2:$R$61,$T52))</f>
        <v>0</v>
      </c>
      <c r="T52">
        <f>IFERROR(MATCH(25,Data!$V$2:$V$61,0),"")</f>
        <v>25</v>
      </c>
    </row>
    <row r="53">
      <c r="B53" s="52" t="str">
        <f>IF($T53="","",HYPERLINK("#'"&amp;INDEX(Data!$B$2:$B$61,$T53)&amp;"'!G"&amp;INDEX(Data!$C$2:$C$61,$T53),"✎"))</f>
        <v>✎</v>
      </c>
      <c r="C53" s="53" t="str">
        <f>IF($T53="","",INDEX(Data!$A$2:$A$61,$T53))</f>
        <v>Sara Moss - Site Manager</v>
      </c>
      <c r="D53" s="53" t="str">
        <f>IF($T53="","",INDEX(Data!$D$2:$D$61,$T53))</f>
        <v>A1280</v>
      </c>
      <c r="E53" s="53" t="str">
        <f>IF($T53="","",INDEX(Data!$E$2:$E$61,$T53))</f>
        <v>Build package 28</v>
      </c>
      <c r="F53" s="53" t="str">
        <f>IF($T53="","",INDEX(Data!$F$2:$F$61,$T53))</f>
        <v>Construction</v>
      </c>
      <c r="G53" s="54" t="str">
        <f>IF($T53="","",INDEX(Data!$G$2:$G$61,$T53))</f>
        <v>Completed</v>
      </c>
      <c r="H53" s="55">
        <f>IF($T53="","",INDEX(Data!$H$2:$H$61,$T53))</f>
        <v>45426</v>
      </c>
      <c r="I53" s="55">
        <f>IF($T53="","",INDEX(Data!$I$2:$I$61,$T53))</f>
        <v>45447</v>
      </c>
      <c r="J53" s="56">
        <f>IF($T53="","",INDEX(Data!$J$2:$J$61,$T53))</f>
        <v>100</v>
      </c>
      <c r="K53" s="55">
        <f>IF($T53="","",INDEX(Data!$K$2:$K$61,$T53))</f>
        <v>45426</v>
      </c>
      <c r="L53" s="55">
        <f>IF($T53="","",INDEX(Data!$L$2:$L$61,$T53))</f>
        <v>45447</v>
      </c>
      <c r="M53" s="56" t="str">
        <f>IF($T53="","",INDEX(Data!$M$2:$M$61,$T53))</f>
        <v/>
      </c>
      <c r="N53" s="55" t="str">
        <f>IF($T53="","",INDEX(Data!$N$2:$N$61,$T53))</f>
        <v/>
      </c>
      <c r="O53" s="57">
        <f>IF($T53="","",INDEX(Data!$O$2:$O$61,$T53))</f>
        <v>0</v>
      </c>
      <c r="P53" s="54" t="str">
        <f>IF($T53="","",INDEX(Data!$P$2:$P$61,$T53))</f>
        <v>✓ Complete</v>
      </c>
      <c r="Q53" s="53" t="str">
        <f>IF($T53="","",INDEX(Data!$W$2:$W$61,$T53))</f>
        <v/>
      </c>
      <c r="R53" s="58" t="str">
        <f>IF($T53="","",INDEX(Data!$Q$2:$Q$61,$T53))</f>
        <v/>
      </c>
      <c r="S53">
        <f>IF($T53="","",INDEX(Data!$R$2:$R$61,$T53))</f>
        <v>0</v>
      </c>
      <c r="T53">
        <f>IFERROR(MATCH(26,Data!$V$2:$V$61,0),"")</f>
        <v>26</v>
      </c>
    </row>
    <row r="54">
      <c r="B54" s="52" t="str">
        <f>IF($T54="","",HYPERLINK("#'"&amp;INDEX(Data!$B$2:$B$61,$T54)&amp;"'!G"&amp;INDEX(Data!$C$2:$C$61,$T54),"✎"))</f>
        <v>✎</v>
      </c>
      <c r="C54" s="53" t="str">
        <f>IF($T54="","",INDEX(Data!$A$2:$A$61,$T54))</f>
        <v>Sara Moss - Site Manager</v>
      </c>
      <c r="D54" s="53" t="str">
        <f>IF($T54="","",INDEX(Data!$D$2:$D$61,$T54))</f>
        <v>A1300</v>
      </c>
      <c r="E54" s="53" t="str">
        <f>IF($T54="","",INDEX(Data!$E$2:$E$61,$T54))</f>
        <v>Build package 30</v>
      </c>
      <c r="F54" s="53" t="str">
        <f>IF($T54="","",INDEX(Data!$F$2:$F$61,$T54))</f>
        <v>Construction</v>
      </c>
      <c r="G54" s="54" t="str">
        <f>IF($T54="","",INDEX(Data!$G$2:$G$61,$T54))</f>
        <v>Completed</v>
      </c>
      <c r="H54" s="55">
        <f>IF($T54="","",INDEX(Data!$H$2:$H$61,$T54))</f>
        <v>45437</v>
      </c>
      <c r="I54" s="55">
        <f>IF($T54="","",INDEX(Data!$I$2:$I$61,$T54))</f>
        <v>45451</v>
      </c>
      <c r="J54" s="56">
        <f>IF($T54="","",INDEX(Data!$J$2:$J$61,$T54))</f>
        <v>100</v>
      </c>
      <c r="K54" s="55">
        <f>IF($T54="","",INDEX(Data!$K$2:$K$61,$T54))</f>
        <v>45437</v>
      </c>
      <c r="L54" s="55">
        <f>IF($T54="","",INDEX(Data!$L$2:$L$61,$T54))</f>
        <v>45451</v>
      </c>
      <c r="M54" s="56" t="str">
        <f>IF($T54="","",INDEX(Data!$M$2:$M$61,$T54))</f>
        <v/>
      </c>
      <c r="N54" s="55" t="str">
        <f>IF($T54="","",INDEX(Data!$N$2:$N$61,$T54))</f>
        <v/>
      </c>
      <c r="O54" s="57">
        <f>IF($T54="","",INDEX(Data!$O$2:$O$61,$T54))</f>
        <v>0</v>
      </c>
      <c r="P54" s="54" t="str">
        <f>IF($T54="","",INDEX(Data!$P$2:$P$61,$T54))</f>
        <v>✓ Complete</v>
      </c>
      <c r="Q54" s="53" t="str">
        <f>IF($T54="","",INDEX(Data!$W$2:$W$61,$T54))</f>
        <v/>
      </c>
      <c r="R54" s="58" t="str">
        <f>IF($T54="","",INDEX(Data!$Q$2:$Q$61,$T54))</f>
        <v/>
      </c>
      <c r="S54">
        <f>IF($T54="","",INDEX(Data!$R$2:$R$61,$T54))</f>
        <v>0</v>
      </c>
      <c r="T54">
        <f>IFERROR(MATCH(27,Data!$V$2:$V$61,0),"")</f>
        <v>27</v>
      </c>
    </row>
    <row r="55">
      <c r="B55" s="52" t="str">
        <f>IF($T55="","",HYPERLINK("#'"&amp;INDEX(Data!$B$2:$B$61,$T55)&amp;"'!G"&amp;INDEX(Data!$C$2:$C$61,$T55),"✎"))</f>
        <v>✎</v>
      </c>
      <c r="C55" s="53" t="str">
        <f>IF($T55="","",INDEX(Data!$A$2:$A$61,$T55))</f>
        <v>Sara Moss - Site Manager</v>
      </c>
      <c r="D55" s="53" t="str">
        <f>IF($T55="","",INDEX(Data!$D$2:$D$61,$T55))</f>
        <v>A1320</v>
      </c>
      <c r="E55" s="53" t="str">
        <f>IF($T55="","",INDEX(Data!$E$2:$E$61,$T55))</f>
        <v>Build package 32</v>
      </c>
      <c r="F55" s="53" t="str">
        <f>IF($T55="","",INDEX(Data!$F$2:$F$61,$T55))</f>
        <v>Construction</v>
      </c>
      <c r="G55" s="54" t="str">
        <f>IF($T55="","",INDEX(Data!$G$2:$G$61,$T55))</f>
        <v>In Progress</v>
      </c>
      <c r="H55" s="55">
        <f>IF($T55="","",INDEX(Data!$H$2:$H$61,$T55))</f>
        <v>45447</v>
      </c>
      <c r="I55" s="55">
        <f>IF($T55="","",INDEX(Data!$I$2:$I$61,$T55))</f>
        <v>45454</v>
      </c>
      <c r="J55" s="56">
        <f>IF($T55="","",INDEX(Data!$J$2:$J$61,$T55))</f>
        <v>80</v>
      </c>
      <c r="K55" s="55">
        <f>IF($T55="","",INDEX(Data!$K$2:$K$61,$T55))</f>
        <v>45447</v>
      </c>
      <c r="L55" s="55" t="str">
        <f>IF($T55="","",INDEX(Data!$L$2:$L$61,$T55))</f>
        <v/>
      </c>
      <c r="M55" s="56" t="str">
        <f>IF($T55="","",INDEX(Data!$M$2:$M$61,$T55))</f>
        <v/>
      </c>
      <c r="N55" s="55" t="str">
        <f>IF($T55="","",INDEX(Data!$N$2:$N$61,$T55))</f>
        <v/>
      </c>
      <c r="O55" s="57">
        <f>IF($T55="","",INDEX(Data!$O$2:$O$61,$T55))</f>
        <v>0</v>
      </c>
      <c r="P55" s="54" t="str">
        <f>IF($T55="","",INDEX(Data!$P$2:$P$61,$T55))</f>
        <v>Finish date needed</v>
      </c>
      <c r="Q55" s="53" t="str">
        <f>IF($T55="","",INDEX(Data!$W$2:$W$61,$T55))</f>
        <v/>
      </c>
      <c r="R55" s="58" t="str">
        <f>IF($T55="","",INDEX(Data!$Q$2:$Q$61,$T55))</f>
        <v/>
      </c>
      <c r="S55">
        <f>IF($T55="","",INDEX(Data!$R$2:$R$61,$T55))</f>
        <v>0</v>
      </c>
      <c r="T55">
        <f>IFERROR(MATCH(28,Data!$V$2:$V$61,0),"")</f>
        <v>28</v>
      </c>
    </row>
    <row r="56">
      <c r="B56" s="52" t="str">
        <f>IF($T56="","",HYPERLINK("#'"&amp;INDEX(Data!$B$2:$B$61,$T56)&amp;"'!G"&amp;INDEX(Data!$C$2:$C$61,$T56),"✎"))</f>
        <v>✎</v>
      </c>
      <c r="C56" s="53" t="str">
        <f>IF($T56="","",INDEX(Data!$A$2:$A$61,$T56))</f>
        <v>Sara Moss - Site Manager</v>
      </c>
      <c r="D56" s="53" t="str">
        <f>IF($T56="","",INDEX(Data!$D$2:$D$61,$T56))</f>
        <v>A1340</v>
      </c>
      <c r="E56" s="53" t="str">
        <f>IF($T56="","",INDEX(Data!$E$2:$E$61,$T56))</f>
        <v>Build package 34</v>
      </c>
      <c r="F56" s="53" t="str">
        <f>IF($T56="","",INDEX(Data!$F$2:$F$61,$T56))</f>
        <v>Construction</v>
      </c>
      <c r="G56" s="54" t="str">
        <f>IF($T56="","",INDEX(Data!$G$2:$G$61,$T56))</f>
        <v>In Progress</v>
      </c>
      <c r="H56" s="55">
        <f>IF($T56="","",INDEX(Data!$H$2:$H$61,$T56))</f>
        <v>45451</v>
      </c>
      <c r="I56" s="55">
        <f>IF($T56="","",INDEX(Data!$I$2:$I$61,$T56))</f>
        <v>45455</v>
      </c>
      <c r="J56" s="56">
        <f>IF($T56="","",INDEX(Data!$J$2:$J$61,$T56))</f>
        <v>40</v>
      </c>
      <c r="K56" s="55">
        <f>IF($T56="","",INDEX(Data!$K$2:$K$61,$T56))</f>
        <v>45451</v>
      </c>
      <c r="L56" s="55" t="str">
        <f>IF($T56="","",INDEX(Data!$L$2:$L$61,$T56))</f>
        <v/>
      </c>
      <c r="M56" s="56" t="str">
        <f>IF($T56="","",INDEX(Data!$M$2:$M$61,$T56))</f>
        <v/>
      </c>
      <c r="N56" s="55" t="str">
        <f>IF($T56="","",INDEX(Data!$N$2:$N$61,$T56))</f>
        <v/>
      </c>
      <c r="O56" s="57">
        <f>IF($T56="","",INDEX(Data!$O$2:$O$61,$T56))</f>
        <v>0</v>
      </c>
      <c r="P56" s="54" t="str">
        <f>IF($T56="","",INDEX(Data!$P$2:$P$61,$T56))</f>
        <v>Finish date needed</v>
      </c>
      <c r="Q56" s="53" t="str">
        <f>IF($T56="","",INDEX(Data!$W$2:$W$61,$T56))</f>
        <v/>
      </c>
      <c r="R56" s="58" t="str">
        <f>IF($T56="","",INDEX(Data!$Q$2:$Q$61,$T56))</f>
        <v/>
      </c>
      <c r="S56">
        <f>IF($T56="","",INDEX(Data!$R$2:$R$61,$T56))</f>
        <v>0</v>
      </c>
      <c r="T56">
        <f>IFERROR(MATCH(29,Data!$V$2:$V$61,0),"")</f>
        <v>29</v>
      </c>
    </row>
    <row r="57">
      <c r="B57" s="52" t="str">
        <f>IF($T57="","",HYPERLINK("#'"&amp;INDEX(Data!$B$2:$B$61,$T57)&amp;"'!G"&amp;INDEX(Data!$C$2:$C$61,$T57),"✎"))</f>
        <v>✎</v>
      </c>
      <c r="C57" s="53" t="str">
        <f>IF($T57="","",INDEX(Data!$A$2:$A$61,$T57))</f>
        <v>Sara Moss - Site Manager</v>
      </c>
      <c r="D57" s="53" t="str">
        <f>IF($T57="","",INDEX(Data!$D$2:$D$61,$T57))</f>
        <v>A1360</v>
      </c>
      <c r="E57" s="53" t="str">
        <f>IF($T57="","",INDEX(Data!$E$2:$E$61,$T57))</f>
        <v>Build package 36</v>
      </c>
      <c r="F57" s="53" t="str">
        <f>IF($T57="","",INDEX(Data!$F$2:$F$61,$T57))</f>
        <v>Construction</v>
      </c>
      <c r="G57" s="54" t="str">
        <f>IF($T57="","",INDEX(Data!$G$2:$G$61,$T57))</f>
        <v>In Progress</v>
      </c>
      <c r="H57" s="55">
        <f>IF($T57="","",INDEX(Data!$H$2:$H$61,$T57))</f>
        <v>45458</v>
      </c>
      <c r="I57" s="55">
        <f>IF($T57="","",INDEX(Data!$I$2:$I$61,$T57))</f>
        <v>45479</v>
      </c>
      <c r="J57" s="56">
        <f>IF($T57="","",INDEX(Data!$J$2:$J$61,$T57))</f>
        <v>10</v>
      </c>
      <c r="K57" s="55">
        <f>IF($T57="","",INDEX(Data!$K$2:$K$61,$T57))</f>
        <v>45458</v>
      </c>
      <c r="L57" s="55" t="str">
        <f>IF($T57="","",INDEX(Data!$L$2:$L$61,$T57))</f>
        <v/>
      </c>
      <c r="M57" s="56" t="str">
        <f>IF($T57="","",INDEX(Data!$M$2:$M$61,$T57))</f>
        <v/>
      </c>
      <c r="N57" s="55" t="str">
        <f>IF($T57="","",INDEX(Data!$N$2:$N$61,$T57))</f>
        <v/>
      </c>
      <c r="O57" s="57">
        <f>IF($T57="","",INDEX(Data!$O$2:$O$61,$T57))</f>
        <v>0</v>
      </c>
      <c r="P57" s="54" t="str">
        <f>IF($T57="","",INDEX(Data!$P$2:$P$61,$T57))</f>
        <v>Not changed yet</v>
      </c>
      <c r="Q57" s="53" t="str">
        <f>IF($T57="","",INDEX(Data!$W$2:$W$61,$T57))</f>
        <v/>
      </c>
      <c r="R57" s="58" t="str">
        <f>IF($T57="","",INDEX(Data!$Q$2:$Q$61,$T57))</f>
        <v/>
      </c>
      <c r="S57">
        <f>IF($T57="","",INDEX(Data!$R$2:$R$61,$T57))</f>
        <v>0</v>
      </c>
      <c r="T57">
        <f>IFERROR(MATCH(30,Data!$V$2:$V$61,0),"")</f>
        <v>30</v>
      </c>
    </row>
    <row r="58">
      <c r="B58" s="52" t="str">
        <f>IF($T58="","",HYPERLINK("#'"&amp;INDEX(Data!$B$2:$B$61,$T58)&amp;"'!G"&amp;INDEX(Data!$C$2:$C$61,$T58),"✎"))</f>
        <v>✎</v>
      </c>
      <c r="C58" s="53" t="str">
        <f>IF($T58="","",INDEX(Data!$A$2:$A$61,$T58))</f>
        <v>Sara Moss - Site Manager</v>
      </c>
      <c r="D58" s="53" t="str">
        <f>IF($T58="","",INDEX(Data!$D$2:$D$61,$T58))</f>
        <v>A1380</v>
      </c>
      <c r="E58" s="53" t="str">
        <f>IF($T58="","",INDEX(Data!$E$2:$E$61,$T58))</f>
        <v>Build package 38</v>
      </c>
      <c r="F58" s="53" t="str">
        <f>IF($T58="","",INDEX(Data!$F$2:$F$61,$T58))</f>
        <v>Construction</v>
      </c>
      <c r="G58" s="54" t="str">
        <f>IF($T58="","",INDEX(Data!$G$2:$G$61,$T58))</f>
        <v>In Progress</v>
      </c>
      <c r="H58" s="55">
        <f>IF($T58="","",INDEX(Data!$H$2:$H$61,$T58))</f>
        <v>45471</v>
      </c>
      <c r="I58" s="55">
        <f>IF($T58="","",INDEX(Data!$I$2:$I$61,$T58))</f>
        <v>45485</v>
      </c>
      <c r="J58" s="56">
        <f>IF($T58="","",INDEX(Data!$J$2:$J$61,$T58))</f>
        <v>60</v>
      </c>
      <c r="K58" s="55">
        <f>IF($T58="","",INDEX(Data!$K$2:$K$61,$T58))</f>
        <v>45471</v>
      </c>
      <c r="L58" s="55" t="str">
        <f>IF($T58="","",INDEX(Data!$L$2:$L$61,$T58))</f>
        <v/>
      </c>
      <c r="M58" s="56" t="str">
        <f>IF($T58="","",INDEX(Data!$M$2:$M$61,$T58))</f>
        <v/>
      </c>
      <c r="N58" s="55" t="str">
        <f>IF($T58="","",INDEX(Data!$N$2:$N$61,$T58))</f>
        <v/>
      </c>
      <c r="O58" s="57">
        <f>IF($T58="","",INDEX(Data!$O$2:$O$61,$T58))</f>
        <v>0</v>
      </c>
      <c r="P58" s="54" t="str">
        <f>IF($T58="","",INDEX(Data!$P$2:$P$61,$T58))</f>
        <v>Not changed yet</v>
      </c>
      <c r="Q58" s="53" t="str">
        <f>IF($T58="","",INDEX(Data!$W$2:$W$61,$T58))</f>
        <v/>
      </c>
      <c r="R58" s="58" t="str">
        <f>IF($T58="","",INDEX(Data!$Q$2:$Q$61,$T58))</f>
        <v/>
      </c>
      <c r="S58">
        <f>IF($T58="","",INDEX(Data!$R$2:$R$61,$T58))</f>
        <v>0</v>
      </c>
      <c r="T58">
        <f>IFERROR(MATCH(31,Data!$V$2:$V$61,0),"")</f>
        <v>31</v>
      </c>
    </row>
    <row r="59">
      <c r="B59" s="52" t="str">
        <f>IF($T59="","",HYPERLINK("#'"&amp;INDEX(Data!$B$2:$B$61,$T59)&amp;"'!G"&amp;INDEX(Data!$C$2:$C$61,$T59),"✎"))</f>
        <v>✎</v>
      </c>
      <c r="C59" s="53" t="str">
        <f>IF($T59="","",INDEX(Data!$A$2:$A$61,$T59))</f>
        <v>Sara Moss - Site Manager</v>
      </c>
      <c r="D59" s="53" t="str">
        <f>IF($T59="","",INDEX(Data!$D$2:$D$61,$T59))</f>
        <v>A1400</v>
      </c>
      <c r="E59" s="53" t="str">
        <f>IF($T59="","",INDEX(Data!$E$2:$E$61,$T59))</f>
        <v>Build package 40</v>
      </c>
      <c r="F59" s="53" t="str">
        <f>IF($T59="","",INDEX(Data!$F$2:$F$61,$T59))</f>
        <v>Construction</v>
      </c>
      <c r="G59" s="54" t="str">
        <f>IF($T59="","",INDEX(Data!$G$2:$G$61,$T59))</f>
        <v>Not Started</v>
      </c>
      <c r="H59" s="55">
        <f>IF($T59="","",INDEX(Data!$H$2:$H$61,$T59))</f>
        <v>45513</v>
      </c>
      <c r="I59" s="55">
        <f>IF($T59="","",INDEX(Data!$I$2:$I$61,$T59))</f>
        <v>45520</v>
      </c>
      <c r="J59" s="56">
        <f>IF($T59="","",INDEX(Data!$J$2:$J$61,$T59))</f>
        <v>0</v>
      </c>
      <c r="K59" s="55" t="str">
        <f>IF($T59="","",INDEX(Data!$K$2:$K$61,$T59))</f>
        <v/>
      </c>
      <c r="L59" s="55" t="str">
        <f>IF($T59="","",INDEX(Data!$L$2:$L$61,$T59))</f>
        <v/>
      </c>
      <c r="M59" s="56" t="str">
        <f>IF($T59="","",INDEX(Data!$M$2:$M$61,$T59))</f>
        <v/>
      </c>
      <c r="N59" s="55" t="str">
        <f>IF($T59="","",INDEX(Data!$N$2:$N$61,$T59))</f>
        <v/>
      </c>
      <c r="O59" s="57">
        <f>IF($T59="","",INDEX(Data!$O$2:$O$61,$T59))</f>
        <v>0</v>
      </c>
      <c r="P59" s="54" t="str">
        <f>IF($T59="","",INDEX(Data!$P$2:$P$61,$T59))</f>
        <v>Not changed yet</v>
      </c>
      <c r="Q59" s="53" t="str">
        <f>IF($T59="","",INDEX(Data!$W$2:$W$61,$T59))</f>
        <v/>
      </c>
      <c r="R59" s="58" t="str">
        <f>IF($T59="","",INDEX(Data!$Q$2:$Q$61,$T59))</f>
        <v/>
      </c>
      <c r="S59">
        <f>IF($T59="","",INDEX(Data!$R$2:$R$61,$T59))</f>
        <v>0</v>
      </c>
      <c r="T59">
        <f>IFERROR(MATCH(32,Data!$V$2:$V$61,0),"")</f>
        <v>32</v>
      </c>
    </row>
    <row r="60">
      <c r="B60" s="52" t="str">
        <f>IF($T60="","",HYPERLINK("#'"&amp;INDEX(Data!$B$2:$B$61,$T60)&amp;"'!G"&amp;INDEX(Data!$C$2:$C$61,$T60),"✎"))</f>
        <v>✎</v>
      </c>
      <c r="C60" s="53" t="str">
        <f>IF($T60="","",INDEX(Data!$A$2:$A$61,$T60))</f>
        <v>Sara Moss - Site Manager</v>
      </c>
      <c r="D60" s="53" t="str">
        <f>IF($T60="","",INDEX(Data!$D$2:$D$61,$T60))</f>
        <v>A1420</v>
      </c>
      <c r="E60" s="53" t="str">
        <f>IF($T60="","",INDEX(Data!$E$2:$E$61,$T60))</f>
        <v>Build package 42</v>
      </c>
      <c r="F60" s="53" t="str">
        <f>IF($T60="","",INDEX(Data!$F$2:$F$61,$T60))</f>
        <v>Construction</v>
      </c>
      <c r="G60" s="54" t="str">
        <f>IF($T60="","",INDEX(Data!$G$2:$G$61,$T60))</f>
        <v>Not Started</v>
      </c>
      <c r="H60" s="55">
        <f>IF($T60="","",INDEX(Data!$H$2:$H$61,$T60))</f>
        <v>45526</v>
      </c>
      <c r="I60" s="55">
        <f>IF($T60="","",INDEX(Data!$I$2:$I$61,$T60))</f>
        <v>45529</v>
      </c>
      <c r="J60" s="56">
        <f>IF($T60="","",INDEX(Data!$J$2:$J$61,$T60))</f>
        <v>0</v>
      </c>
      <c r="K60" s="55" t="str">
        <f>IF($T60="","",INDEX(Data!$K$2:$K$61,$T60))</f>
        <v/>
      </c>
      <c r="L60" s="55" t="str">
        <f>IF($T60="","",INDEX(Data!$L$2:$L$61,$T60))</f>
        <v/>
      </c>
      <c r="M60" s="56" t="str">
        <f>IF($T60="","",INDEX(Data!$M$2:$M$61,$T60))</f>
        <v/>
      </c>
      <c r="N60" s="55" t="str">
        <f>IF($T60="","",INDEX(Data!$N$2:$N$61,$T60))</f>
        <v/>
      </c>
      <c r="O60" s="57">
        <f>IF($T60="","",INDEX(Data!$O$2:$O$61,$T60))</f>
        <v>0</v>
      </c>
      <c r="P60" s="54" t="str">
        <f>IF($T60="","",INDEX(Data!$P$2:$P$61,$T60))</f>
        <v>Not changed yet</v>
      </c>
      <c r="Q60" s="53" t="str">
        <f>IF($T60="","",INDEX(Data!$W$2:$W$61,$T60))</f>
        <v/>
      </c>
      <c r="R60" s="58" t="str">
        <f>IF($T60="","",INDEX(Data!$Q$2:$Q$61,$T60))</f>
        <v/>
      </c>
      <c r="S60">
        <f>IF($T60="","",INDEX(Data!$R$2:$R$61,$T60))</f>
        <v>0</v>
      </c>
      <c r="T60">
        <f>IFERROR(MATCH(33,Data!$V$2:$V$61,0),"")</f>
        <v>33</v>
      </c>
    </row>
    <row r="61">
      <c r="B61" s="52" t="str">
        <f>IF($T61="","",HYPERLINK("#'"&amp;INDEX(Data!$B$2:$B$61,$T61)&amp;"'!G"&amp;INDEX(Data!$C$2:$C$61,$T61),"✎"))</f>
        <v>✎</v>
      </c>
      <c r="C61" s="53" t="str">
        <f>IF($T61="","",INDEX(Data!$A$2:$A$61,$T61))</f>
        <v>Sara Moss - Site Manager</v>
      </c>
      <c r="D61" s="53" t="str">
        <f>IF($T61="","",INDEX(Data!$D$2:$D$61,$T61))</f>
        <v>A1440</v>
      </c>
      <c r="E61" s="53" t="str">
        <f>IF($T61="","",INDEX(Data!$E$2:$E$61,$T61))</f>
        <v>Build package 44</v>
      </c>
      <c r="F61" s="53" t="str">
        <f>IF($T61="","",INDEX(Data!$F$2:$F$61,$T61))</f>
        <v>Construction</v>
      </c>
      <c r="G61" s="54" t="str">
        <f>IF($T61="","",INDEX(Data!$G$2:$G$61,$T61))</f>
        <v>Not Started</v>
      </c>
      <c r="H61" s="55">
        <f>IF($T61="","",INDEX(Data!$H$2:$H$61,$T61))</f>
        <v>45537</v>
      </c>
      <c r="I61" s="55">
        <f>IF($T61="","",INDEX(Data!$I$2:$I$61,$T61))</f>
        <v>45544</v>
      </c>
      <c r="J61" s="56">
        <f>IF($T61="","",INDEX(Data!$J$2:$J$61,$T61))</f>
        <v>0</v>
      </c>
      <c r="K61" s="55" t="str">
        <f>IF($T61="","",INDEX(Data!$K$2:$K$61,$T61))</f>
        <v/>
      </c>
      <c r="L61" s="55" t="str">
        <f>IF($T61="","",INDEX(Data!$L$2:$L$61,$T61))</f>
        <v/>
      </c>
      <c r="M61" s="56" t="str">
        <f>IF($T61="","",INDEX(Data!$M$2:$M$61,$T61))</f>
        <v/>
      </c>
      <c r="N61" s="55" t="str">
        <f>IF($T61="","",INDEX(Data!$N$2:$N$61,$T61))</f>
        <v/>
      </c>
      <c r="O61" s="57">
        <f>IF($T61="","",INDEX(Data!$O$2:$O$61,$T61))</f>
        <v>0</v>
      </c>
      <c r="P61" s="54" t="str">
        <f>IF($T61="","",INDEX(Data!$P$2:$P$61,$T61))</f>
        <v>Not changed yet</v>
      </c>
      <c r="Q61" s="53" t="str">
        <f>IF($T61="","",INDEX(Data!$W$2:$W$61,$T61))</f>
        <v/>
      </c>
      <c r="R61" s="58" t="str">
        <f>IF($T61="","",INDEX(Data!$Q$2:$Q$61,$T61))</f>
        <v/>
      </c>
      <c r="S61">
        <f>IF($T61="","",INDEX(Data!$R$2:$R$61,$T61))</f>
        <v>0</v>
      </c>
      <c r="T61">
        <f>IFERROR(MATCH(34,Data!$V$2:$V$61,0),"")</f>
        <v>34</v>
      </c>
    </row>
    <row r="62">
      <c r="B62" s="52" t="str">
        <f>IF($T62="","",HYPERLINK("#'"&amp;INDEX(Data!$B$2:$B$61,$T62)&amp;"'!G"&amp;INDEX(Data!$C$2:$C$61,$T62),"✎"))</f>
        <v>✎</v>
      </c>
      <c r="C62" s="53" t="str">
        <f>IF($T62="","",INDEX(Data!$A$2:$A$61,$T62))</f>
        <v>Sara Moss - Site Manager</v>
      </c>
      <c r="D62" s="53" t="str">
        <f>IF($T62="","",INDEX(Data!$D$2:$D$61,$T62))</f>
        <v>A1460</v>
      </c>
      <c r="E62" s="53" t="str">
        <f>IF($T62="","",INDEX(Data!$E$2:$E$61,$T62))</f>
        <v>Build package 46</v>
      </c>
      <c r="F62" s="53" t="str">
        <f>IF($T62="","",INDEX(Data!$F$2:$F$61,$T62))</f>
        <v>Construction</v>
      </c>
      <c r="G62" s="54" t="str">
        <f>IF($T62="","",INDEX(Data!$G$2:$G$61,$T62))</f>
        <v>Not Started</v>
      </c>
      <c r="H62" s="55">
        <f>IF($T62="","",INDEX(Data!$H$2:$H$61,$T62))</f>
        <v>45550</v>
      </c>
      <c r="I62" s="55">
        <f>IF($T62="","",INDEX(Data!$I$2:$I$61,$T62))</f>
        <v>45553</v>
      </c>
      <c r="J62" s="56">
        <f>IF($T62="","",INDEX(Data!$J$2:$J$61,$T62))</f>
        <v>0</v>
      </c>
      <c r="K62" s="55" t="str">
        <f>IF($T62="","",INDEX(Data!$K$2:$K$61,$T62))</f>
        <v/>
      </c>
      <c r="L62" s="55" t="str">
        <f>IF($T62="","",INDEX(Data!$L$2:$L$61,$T62))</f>
        <v/>
      </c>
      <c r="M62" s="56" t="str">
        <f>IF($T62="","",INDEX(Data!$M$2:$M$61,$T62))</f>
        <v/>
      </c>
      <c r="N62" s="55" t="str">
        <f>IF($T62="","",INDEX(Data!$N$2:$N$61,$T62))</f>
        <v/>
      </c>
      <c r="O62" s="57">
        <f>IF($T62="","",INDEX(Data!$O$2:$O$61,$T62))</f>
        <v>0</v>
      </c>
      <c r="P62" s="54" t="str">
        <f>IF($T62="","",INDEX(Data!$P$2:$P$61,$T62))</f>
        <v>Not changed yet</v>
      </c>
      <c r="Q62" s="53" t="str">
        <f>IF($T62="","",INDEX(Data!$W$2:$W$61,$T62))</f>
        <v/>
      </c>
      <c r="R62" s="58" t="str">
        <f>IF($T62="","",INDEX(Data!$Q$2:$Q$61,$T62))</f>
        <v/>
      </c>
      <c r="S62">
        <f>IF($T62="","",INDEX(Data!$R$2:$R$61,$T62))</f>
        <v>0</v>
      </c>
      <c r="T62">
        <f>IFERROR(MATCH(35,Data!$V$2:$V$61,0),"")</f>
        <v>35</v>
      </c>
    </row>
    <row r="63">
      <c r="B63" s="52" t="str">
        <f>IF($T63="","",HYPERLINK("#'"&amp;INDEX(Data!$B$2:$B$61,$T63)&amp;"'!G"&amp;INDEX(Data!$C$2:$C$61,$T63),"✎"))</f>
        <v>✎</v>
      </c>
      <c r="C63" s="53" t="str">
        <f>IF($T63="","",INDEX(Data!$A$2:$A$61,$T63))</f>
        <v>Sara Moss - Site Manager</v>
      </c>
      <c r="D63" s="53" t="str">
        <f>IF($T63="","",INDEX(Data!$D$2:$D$61,$T63))</f>
        <v>A1480</v>
      </c>
      <c r="E63" s="53" t="str">
        <f>IF($T63="","",INDEX(Data!$E$2:$E$61,$T63))</f>
        <v>Build package 48</v>
      </c>
      <c r="F63" s="53" t="str">
        <f>IF($T63="","",INDEX(Data!$F$2:$F$61,$T63))</f>
        <v>Construction</v>
      </c>
      <c r="G63" s="54" t="str">
        <f>IF($T63="","",INDEX(Data!$G$2:$G$61,$T63))</f>
        <v>Not Started</v>
      </c>
      <c r="H63" s="55">
        <f>IF($T63="","",INDEX(Data!$H$2:$H$61,$T63))</f>
        <v>45554</v>
      </c>
      <c r="I63" s="55">
        <f>IF($T63="","",INDEX(Data!$I$2:$I$61,$T63))</f>
        <v>45568</v>
      </c>
      <c r="J63" s="56">
        <f>IF($T63="","",INDEX(Data!$J$2:$J$61,$T63))</f>
        <v>0</v>
      </c>
      <c r="K63" s="55" t="str">
        <f>IF($T63="","",INDEX(Data!$K$2:$K$61,$T63))</f>
        <v/>
      </c>
      <c r="L63" s="55" t="str">
        <f>IF($T63="","",INDEX(Data!$L$2:$L$61,$T63))</f>
        <v/>
      </c>
      <c r="M63" s="56" t="str">
        <f>IF($T63="","",INDEX(Data!$M$2:$M$61,$T63))</f>
        <v/>
      </c>
      <c r="N63" s="55" t="str">
        <f>IF($T63="","",INDEX(Data!$N$2:$N$61,$T63))</f>
        <v/>
      </c>
      <c r="O63" s="57">
        <f>IF($T63="","",INDEX(Data!$O$2:$O$61,$T63))</f>
        <v>0</v>
      </c>
      <c r="P63" s="54" t="str">
        <f>IF($T63="","",INDEX(Data!$P$2:$P$61,$T63))</f>
        <v>Not changed yet</v>
      </c>
      <c r="Q63" s="53" t="str">
        <f>IF($T63="","",INDEX(Data!$W$2:$W$61,$T63))</f>
        <v/>
      </c>
      <c r="R63" s="58" t="str">
        <f>IF($T63="","",INDEX(Data!$Q$2:$Q$61,$T63))</f>
        <v/>
      </c>
      <c r="S63">
        <f>IF($T63="","",INDEX(Data!$R$2:$R$61,$T63))</f>
        <v>0</v>
      </c>
      <c r="T63">
        <f>IFERROR(MATCH(36,Data!$V$2:$V$61,0),"")</f>
        <v>36</v>
      </c>
    </row>
    <row r="64">
      <c r="B64" s="52" t="str">
        <f>IF($T64="","",HYPERLINK("#'"&amp;INDEX(Data!$B$2:$B$61,$T64)&amp;"'!G"&amp;INDEX(Data!$C$2:$C$61,$T64),"✎"))</f>
        <v>✎</v>
      </c>
      <c r="C64" s="53" t="str">
        <f>IF($T64="","",INDEX(Data!$A$2:$A$61,$T64))</f>
        <v>Sara Moss - Site Manager</v>
      </c>
      <c r="D64" s="53" t="str">
        <f>IF($T64="","",INDEX(Data!$D$2:$D$61,$T64))</f>
        <v>A1500</v>
      </c>
      <c r="E64" s="53" t="str">
        <f>IF($T64="","",INDEX(Data!$E$2:$E$61,$T64))</f>
        <v>Build package 50</v>
      </c>
      <c r="F64" s="53" t="str">
        <f>IF($T64="","",INDEX(Data!$F$2:$F$61,$T64))</f>
        <v>Construction</v>
      </c>
      <c r="G64" s="54" t="str">
        <f>IF($T64="","",INDEX(Data!$G$2:$G$61,$T64))</f>
        <v>Not Started</v>
      </c>
      <c r="H64" s="55">
        <f>IF($T64="","",INDEX(Data!$H$2:$H$61,$T64))</f>
        <v>45566</v>
      </c>
      <c r="I64" s="55">
        <f>IF($T64="","",INDEX(Data!$I$2:$I$61,$T64))</f>
        <v>45570</v>
      </c>
      <c r="J64" s="56">
        <f>IF($T64="","",INDEX(Data!$J$2:$J$61,$T64))</f>
        <v>0</v>
      </c>
      <c r="K64" s="55" t="str">
        <f>IF($T64="","",INDEX(Data!$K$2:$K$61,$T64))</f>
        <v/>
      </c>
      <c r="L64" s="55" t="str">
        <f>IF($T64="","",INDEX(Data!$L$2:$L$61,$T64))</f>
        <v/>
      </c>
      <c r="M64" s="56" t="str">
        <f>IF($T64="","",INDEX(Data!$M$2:$M$61,$T64))</f>
        <v/>
      </c>
      <c r="N64" s="55" t="str">
        <f>IF($T64="","",INDEX(Data!$N$2:$N$61,$T64))</f>
        <v/>
      </c>
      <c r="O64" s="57">
        <f>IF($T64="","",INDEX(Data!$O$2:$O$61,$T64))</f>
        <v>0</v>
      </c>
      <c r="P64" s="54" t="str">
        <f>IF($T64="","",INDEX(Data!$P$2:$P$61,$T64))</f>
        <v>Not changed yet</v>
      </c>
      <c r="Q64" s="53" t="str">
        <f>IF($T64="","",INDEX(Data!$W$2:$W$61,$T64))</f>
        <v/>
      </c>
      <c r="R64" s="58" t="str">
        <f>IF($T64="","",INDEX(Data!$Q$2:$Q$61,$T64))</f>
        <v/>
      </c>
      <c r="S64">
        <f>IF($T64="","",INDEX(Data!$R$2:$R$61,$T64))</f>
        <v>0</v>
      </c>
      <c r="T64">
        <f>IFERROR(MATCH(37,Data!$V$2:$V$61,0),"")</f>
        <v>37</v>
      </c>
    </row>
    <row r="65">
      <c r="B65" s="52" t="str">
        <f>IF($T65="","",HYPERLINK("#'"&amp;INDEX(Data!$B$2:$B$61,$T65)&amp;"'!G"&amp;INDEX(Data!$C$2:$C$61,$T65),"✎"))</f>
        <v>✎</v>
      </c>
      <c r="C65" s="53" t="str">
        <f>IF($T65="","",INDEX(Data!$A$2:$A$61,$T65))</f>
        <v>Sara Moss - Site Manager</v>
      </c>
      <c r="D65" s="53" t="str">
        <f>IF($T65="","",INDEX(Data!$D$2:$D$61,$T65))</f>
        <v>A1520</v>
      </c>
      <c r="E65" s="53" t="str">
        <f>IF($T65="","",INDEX(Data!$E$2:$E$61,$T65))</f>
        <v>Build package 52</v>
      </c>
      <c r="F65" s="53" t="str">
        <f>IF($T65="","",INDEX(Data!$F$2:$F$61,$T65))</f>
        <v>Construction</v>
      </c>
      <c r="G65" s="54" t="str">
        <f>IF($T65="","",INDEX(Data!$G$2:$G$61,$T65))</f>
        <v>Not Started</v>
      </c>
      <c r="H65" s="55">
        <f>IF($T65="","",INDEX(Data!$H$2:$H$61,$T65))</f>
        <v>45570</v>
      </c>
      <c r="I65" s="55">
        <f>IF($T65="","",INDEX(Data!$I$2:$I$61,$T65))</f>
        <v>45581</v>
      </c>
      <c r="J65" s="56">
        <f>IF($T65="","",INDEX(Data!$J$2:$J$61,$T65))</f>
        <v>0</v>
      </c>
      <c r="K65" s="55" t="str">
        <f>IF($T65="","",INDEX(Data!$K$2:$K$61,$T65))</f>
        <v/>
      </c>
      <c r="L65" s="55" t="str">
        <f>IF($T65="","",INDEX(Data!$L$2:$L$61,$T65))</f>
        <v/>
      </c>
      <c r="M65" s="56" t="str">
        <f>IF($T65="","",INDEX(Data!$M$2:$M$61,$T65))</f>
        <v/>
      </c>
      <c r="N65" s="55" t="str">
        <f>IF($T65="","",INDEX(Data!$N$2:$N$61,$T65))</f>
        <v/>
      </c>
      <c r="O65" s="57">
        <f>IF($T65="","",INDEX(Data!$O$2:$O$61,$T65))</f>
        <v>0</v>
      </c>
      <c r="P65" s="54" t="str">
        <f>IF($T65="","",INDEX(Data!$P$2:$P$61,$T65))</f>
        <v>Not changed yet</v>
      </c>
      <c r="Q65" s="53" t="str">
        <f>IF($T65="","",INDEX(Data!$W$2:$W$61,$T65))</f>
        <v/>
      </c>
      <c r="R65" s="58" t="str">
        <f>IF($T65="","",INDEX(Data!$Q$2:$Q$61,$T65))</f>
        <v/>
      </c>
      <c r="S65">
        <f>IF($T65="","",INDEX(Data!$R$2:$R$61,$T65))</f>
        <v>0</v>
      </c>
      <c r="T65">
        <f>IFERROR(MATCH(38,Data!$V$2:$V$61,0),"")</f>
        <v>38</v>
      </c>
    </row>
    <row r="66">
      <c r="B66" s="52" t="str">
        <f>IF($T66="","",HYPERLINK("#'"&amp;INDEX(Data!$B$2:$B$61,$T66)&amp;"'!G"&amp;INDEX(Data!$C$2:$C$61,$T66),"✎"))</f>
        <v>✎</v>
      </c>
      <c r="C66" s="53" t="str">
        <f>IF($T66="","",INDEX(Data!$A$2:$A$61,$T66))</f>
        <v>Sara Moss - Site Manager</v>
      </c>
      <c r="D66" s="53" t="str">
        <f>IF($T66="","",INDEX(Data!$D$2:$D$61,$T66))</f>
        <v>A1540</v>
      </c>
      <c r="E66" s="53" t="str">
        <f>IF($T66="","",INDEX(Data!$E$2:$E$61,$T66))</f>
        <v>Build package 54</v>
      </c>
      <c r="F66" s="53" t="str">
        <f>IF($T66="","",INDEX(Data!$F$2:$F$61,$T66))</f>
        <v>Construction</v>
      </c>
      <c r="G66" s="54" t="str">
        <f>IF($T66="","",INDEX(Data!$G$2:$G$61,$T66))</f>
        <v>Not Started</v>
      </c>
      <c r="H66" s="55">
        <f>IF($T66="","",INDEX(Data!$H$2:$H$61,$T66))</f>
        <v>45610</v>
      </c>
      <c r="I66" s="55">
        <f>IF($T66="","",INDEX(Data!$I$2:$I$61,$T66))</f>
        <v>45613</v>
      </c>
      <c r="J66" s="56">
        <f>IF($T66="","",INDEX(Data!$J$2:$J$61,$T66))</f>
        <v>0</v>
      </c>
      <c r="K66" s="55" t="str">
        <f>IF($T66="","",INDEX(Data!$K$2:$K$61,$T66))</f>
        <v/>
      </c>
      <c r="L66" s="55" t="str">
        <f>IF($T66="","",INDEX(Data!$L$2:$L$61,$T66))</f>
        <v/>
      </c>
      <c r="M66" s="56" t="str">
        <f>IF($T66="","",INDEX(Data!$M$2:$M$61,$T66))</f>
        <v/>
      </c>
      <c r="N66" s="55" t="str">
        <f>IF($T66="","",INDEX(Data!$N$2:$N$61,$T66))</f>
        <v/>
      </c>
      <c r="O66" s="57">
        <f>IF($T66="","",INDEX(Data!$O$2:$O$61,$T66))</f>
        <v>0</v>
      </c>
      <c r="P66" s="54" t="str">
        <f>IF($T66="","",INDEX(Data!$P$2:$P$61,$T66))</f>
        <v>Not changed yet</v>
      </c>
      <c r="Q66" s="53" t="str">
        <f>IF($T66="","",INDEX(Data!$W$2:$W$61,$T66))</f>
        <v/>
      </c>
      <c r="R66" s="58" t="str">
        <f>IF($T66="","",INDEX(Data!$Q$2:$Q$61,$T66))</f>
        <v/>
      </c>
      <c r="S66">
        <f>IF($T66="","",INDEX(Data!$R$2:$R$61,$T66))</f>
        <v>0</v>
      </c>
      <c r="T66">
        <f>IFERROR(MATCH(39,Data!$V$2:$V$61,0),"")</f>
        <v>39</v>
      </c>
    </row>
    <row r="67">
      <c r="B67" s="52" t="str">
        <f>IF($T67="","",HYPERLINK("#'"&amp;INDEX(Data!$B$2:$B$61,$T67)&amp;"'!G"&amp;INDEX(Data!$C$2:$C$61,$T67),"✎"))</f>
        <v>✎</v>
      </c>
      <c r="C67" s="53" t="str">
        <f>IF($T67="","",INDEX(Data!$A$2:$A$61,$T67))</f>
        <v>Sara Moss - Site Manager</v>
      </c>
      <c r="D67" s="53" t="str">
        <f>IF($T67="","",INDEX(Data!$D$2:$D$61,$T67))</f>
        <v>A1560</v>
      </c>
      <c r="E67" s="53" t="str">
        <f>IF($T67="","",INDEX(Data!$E$2:$E$61,$T67))</f>
        <v>Build package 56</v>
      </c>
      <c r="F67" s="53" t="str">
        <f>IF($T67="","",INDEX(Data!$F$2:$F$61,$T67))</f>
        <v>Construction</v>
      </c>
      <c r="G67" s="54" t="str">
        <f>IF($T67="","",INDEX(Data!$G$2:$G$61,$T67))</f>
        <v>Not Started</v>
      </c>
      <c r="H67" s="55">
        <f>IF($T67="","",INDEX(Data!$H$2:$H$61,$T67))</f>
        <v>45616</v>
      </c>
      <c r="I67" s="55">
        <f>IF($T67="","",INDEX(Data!$I$2:$I$61,$T67))</f>
        <v>45630</v>
      </c>
      <c r="J67" s="56">
        <f>IF($T67="","",INDEX(Data!$J$2:$J$61,$T67))</f>
        <v>0</v>
      </c>
      <c r="K67" s="55" t="str">
        <f>IF($T67="","",INDEX(Data!$K$2:$K$61,$T67))</f>
        <v/>
      </c>
      <c r="L67" s="55" t="str">
        <f>IF($T67="","",INDEX(Data!$L$2:$L$61,$T67))</f>
        <v/>
      </c>
      <c r="M67" s="56" t="str">
        <f>IF($T67="","",INDEX(Data!$M$2:$M$61,$T67))</f>
        <v/>
      </c>
      <c r="N67" s="55" t="str">
        <f>IF($T67="","",INDEX(Data!$N$2:$N$61,$T67))</f>
        <v/>
      </c>
      <c r="O67" s="57">
        <f>IF($T67="","",INDEX(Data!$O$2:$O$61,$T67))</f>
        <v>0</v>
      </c>
      <c r="P67" s="54" t="str">
        <f>IF($T67="","",INDEX(Data!$P$2:$P$61,$T67))</f>
        <v>Not changed yet</v>
      </c>
      <c r="Q67" s="53" t="str">
        <f>IF($T67="","",INDEX(Data!$W$2:$W$61,$T67))</f>
        <v/>
      </c>
      <c r="R67" s="58" t="str">
        <f>IF($T67="","",INDEX(Data!$Q$2:$Q$61,$T67))</f>
        <v/>
      </c>
      <c r="S67">
        <f>IF($T67="","",INDEX(Data!$R$2:$R$61,$T67))</f>
        <v>0</v>
      </c>
      <c r="T67">
        <f>IFERROR(MATCH(40,Data!$V$2:$V$61,0),"")</f>
        <v>40</v>
      </c>
    </row>
    <row r="68">
      <c r="B68" s="52" t="str">
        <f>IF($T68="","",HYPERLINK("#'"&amp;INDEX(Data!$B$2:$B$61,$T68)&amp;"'!G"&amp;INDEX(Data!$C$2:$C$61,$T68),"✎"))</f>
        <v>✎</v>
      </c>
      <c r="C68" s="53" t="str">
        <f>IF($T68="","",INDEX(Data!$A$2:$A$61,$T68))</f>
        <v>Sara Moss - Site Manager</v>
      </c>
      <c r="D68" s="53" t="str">
        <f>IF($T68="","",INDEX(Data!$D$2:$D$61,$T68))</f>
        <v>A1580</v>
      </c>
      <c r="E68" s="53" t="str">
        <f>IF($T68="","",INDEX(Data!$E$2:$E$61,$T68))</f>
        <v>Build package 58</v>
      </c>
      <c r="F68" s="53" t="str">
        <f>IF($T68="","",INDEX(Data!$F$2:$F$61,$T68))</f>
        <v>Construction</v>
      </c>
      <c r="G68" s="54" t="str">
        <f>IF($T68="","",INDEX(Data!$G$2:$G$61,$T68))</f>
        <v>Not Started</v>
      </c>
      <c r="H68" s="55">
        <f>IF($T68="","",INDEX(Data!$H$2:$H$61,$T68))</f>
        <v>45625</v>
      </c>
      <c r="I68" s="55">
        <f>IF($T68="","",INDEX(Data!$I$2:$I$61,$T68))</f>
        <v>45695</v>
      </c>
      <c r="J68" s="56">
        <f>IF($T68="","",INDEX(Data!$J$2:$J$61,$T68))</f>
        <v>0</v>
      </c>
      <c r="K68" s="55" t="str">
        <f>IF($T68="","",INDEX(Data!$K$2:$K$61,$T68))</f>
        <v/>
      </c>
      <c r="L68" s="55" t="str">
        <f>IF($T68="","",INDEX(Data!$L$2:$L$61,$T68))</f>
        <v/>
      </c>
      <c r="M68" s="56" t="str">
        <f>IF($T68="","",INDEX(Data!$M$2:$M$61,$T68))</f>
        <v/>
      </c>
      <c r="N68" s="55" t="str">
        <f>IF($T68="","",INDEX(Data!$N$2:$N$61,$T68))</f>
        <v/>
      </c>
      <c r="O68" s="57">
        <f>IF($T68="","",INDEX(Data!$O$2:$O$61,$T68))</f>
        <v>0</v>
      </c>
      <c r="P68" s="54" t="str">
        <f>IF($T68="","",INDEX(Data!$P$2:$P$61,$T68))</f>
        <v>Not changed yet</v>
      </c>
      <c r="Q68" s="53" t="str">
        <f>IF($T68="","",INDEX(Data!$W$2:$W$61,$T68))</f>
        <v/>
      </c>
      <c r="R68" s="58" t="str">
        <f>IF($T68="","",INDEX(Data!$Q$2:$Q$61,$T68))</f>
        <v/>
      </c>
      <c r="S68">
        <f>IF($T68="","",INDEX(Data!$R$2:$R$61,$T68))</f>
        <v>0</v>
      </c>
      <c r="T68">
        <f>IFERROR(MATCH(41,Data!$V$2:$V$61,0),"")</f>
        <v>41</v>
      </c>
    </row>
    <row r="69">
      <c r="B69" s="52" t="str">
        <f>IF($T69="","",HYPERLINK("#'"&amp;INDEX(Data!$B$2:$B$61,$T69)&amp;"'!G"&amp;INDEX(Data!$C$2:$C$61,$T69),"✎"))</f>
        <v>✎</v>
      </c>
      <c r="C69" s="53" t="str">
        <f>IF($T69="","",INDEX(Data!$A$2:$A$61,$T69))</f>
        <v>Tom Reid - Package Manager</v>
      </c>
      <c r="D69" s="53" t="str">
        <f>IF($T69="","",INDEX(Data!$D$2:$D$61,$T69))</f>
        <v>A1210</v>
      </c>
      <c r="E69" s="53" t="str">
        <f>IF($T69="","",INDEX(Data!$E$2:$E$61,$T69))</f>
        <v>Build package 21</v>
      </c>
      <c r="F69" s="53" t="str">
        <f>IF($T69="","",INDEX(Data!$F$2:$F$61,$T69))</f>
        <v>Construction</v>
      </c>
      <c r="G69" s="54" t="str">
        <f>IF($T69="","",INDEX(Data!$G$2:$G$61,$T69))</f>
        <v>Completed</v>
      </c>
      <c r="H69" s="55">
        <f>IF($T69="","",INDEX(Data!$H$2:$H$61,$T69))</f>
        <v>45362</v>
      </c>
      <c r="I69" s="55">
        <f>IF($T69="","",INDEX(Data!$I$2:$I$61,$T69))</f>
        <v>45376</v>
      </c>
      <c r="J69" s="56">
        <f>IF($T69="","",INDEX(Data!$J$2:$J$61,$T69))</f>
        <v>100</v>
      </c>
      <c r="K69" s="55">
        <f>IF($T69="","",INDEX(Data!$K$2:$K$61,$T69))</f>
        <v>45362</v>
      </c>
      <c r="L69" s="55">
        <f>IF($T69="","",INDEX(Data!$L$2:$L$61,$T69))</f>
        <v>45376</v>
      </c>
      <c r="M69" s="56" t="str">
        <f>IF($T69="","",INDEX(Data!$M$2:$M$61,$T69))</f>
        <v/>
      </c>
      <c r="N69" s="55" t="str">
        <f>IF($T69="","",INDEX(Data!$N$2:$N$61,$T69))</f>
        <v/>
      </c>
      <c r="O69" s="57">
        <f>IF($T69="","",INDEX(Data!$O$2:$O$61,$T69))</f>
        <v>0</v>
      </c>
      <c r="P69" s="54" t="str">
        <f>IF($T69="","",INDEX(Data!$P$2:$P$61,$T69))</f>
        <v>✓ Complete</v>
      </c>
      <c r="Q69" s="53" t="str">
        <f>IF($T69="","",INDEX(Data!$W$2:$W$61,$T69))</f>
        <v/>
      </c>
      <c r="R69" s="58" t="str">
        <f>IF($T69="","",INDEX(Data!$Q$2:$Q$61,$T69))</f>
        <v/>
      </c>
      <c r="S69">
        <f>IF($T69="","",INDEX(Data!$R$2:$R$61,$T69))</f>
        <v>0</v>
      </c>
      <c r="T69">
        <f>IFERROR(MATCH(42,Data!$V$2:$V$61,0),"")</f>
        <v>42</v>
      </c>
    </row>
    <row r="70">
      <c r="B70" s="52" t="str">
        <f>IF($T70="","",HYPERLINK("#'"&amp;INDEX(Data!$B$2:$B$61,$T70)&amp;"'!G"&amp;INDEX(Data!$C$2:$C$61,$T70),"✎"))</f>
        <v>✎</v>
      </c>
      <c r="C70" s="53" t="str">
        <f>IF($T70="","",INDEX(Data!$A$2:$A$61,$T70))</f>
        <v>Tom Reid - Package Manager</v>
      </c>
      <c r="D70" s="53" t="str">
        <f>IF($T70="","",INDEX(Data!$D$2:$D$61,$T70))</f>
        <v>A1230</v>
      </c>
      <c r="E70" s="53" t="str">
        <f>IF($T70="","",INDEX(Data!$E$2:$E$61,$T70))</f>
        <v>Build package 23</v>
      </c>
      <c r="F70" s="53" t="str">
        <f>IF($T70="","",INDEX(Data!$F$2:$F$61,$T70))</f>
        <v>Construction</v>
      </c>
      <c r="G70" s="54" t="str">
        <f>IF($T70="","",INDEX(Data!$G$2:$G$61,$T70))</f>
        <v>Completed</v>
      </c>
      <c r="H70" s="55">
        <f>IF($T70="","",INDEX(Data!$H$2:$H$61,$T70))</f>
        <v>45376</v>
      </c>
      <c r="I70" s="55">
        <f>IF($T70="","",INDEX(Data!$I$2:$I$61,$T70))</f>
        <v>45387</v>
      </c>
      <c r="J70" s="56">
        <f>IF($T70="","",INDEX(Data!$J$2:$J$61,$T70))</f>
        <v>100</v>
      </c>
      <c r="K70" s="55">
        <f>IF($T70="","",INDEX(Data!$K$2:$K$61,$T70))</f>
        <v>45376</v>
      </c>
      <c r="L70" s="55">
        <f>IF($T70="","",INDEX(Data!$L$2:$L$61,$T70))</f>
        <v>45387</v>
      </c>
      <c r="M70" s="56" t="str">
        <f>IF($T70="","",INDEX(Data!$M$2:$M$61,$T70))</f>
        <v/>
      </c>
      <c r="N70" s="55" t="str">
        <f>IF($T70="","",INDEX(Data!$N$2:$N$61,$T70))</f>
        <v/>
      </c>
      <c r="O70" s="57">
        <f>IF($T70="","",INDEX(Data!$O$2:$O$61,$T70))</f>
        <v>0</v>
      </c>
      <c r="P70" s="54" t="str">
        <f>IF($T70="","",INDEX(Data!$P$2:$P$61,$T70))</f>
        <v>✓ Complete</v>
      </c>
      <c r="Q70" s="53" t="str">
        <f>IF($T70="","",INDEX(Data!$W$2:$W$61,$T70))</f>
        <v/>
      </c>
      <c r="R70" s="58" t="str">
        <f>IF($T70="","",INDEX(Data!$Q$2:$Q$61,$T70))</f>
        <v/>
      </c>
      <c r="S70">
        <f>IF($T70="","",INDEX(Data!$R$2:$R$61,$T70))</f>
        <v>0</v>
      </c>
      <c r="T70">
        <f>IFERROR(MATCH(43,Data!$V$2:$V$61,0),"")</f>
        <v>43</v>
      </c>
    </row>
    <row r="71">
      <c r="B71" s="52" t="str">
        <f>IF($T71="","",HYPERLINK("#'"&amp;INDEX(Data!$B$2:$B$61,$T71)&amp;"'!G"&amp;INDEX(Data!$C$2:$C$61,$T71),"✎"))</f>
        <v>✎</v>
      </c>
      <c r="C71" s="53" t="str">
        <f>IF($T71="","",INDEX(Data!$A$2:$A$61,$T71))</f>
        <v>Tom Reid - Package Manager</v>
      </c>
      <c r="D71" s="53" t="str">
        <f>IF($T71="","",INDEX(Data!$D$2:$D$61,$T71))</f>
        <v>A1250</v>
      </c>
      <c r="E71" s="53" t="str">
        <f>IF($T71="","",INDEX(Data!$E$2:$E$61,$T71))</f>
        <v>Build package 25</v>
      </c>
      <c r="F71" s="53" t="str">
        <f>IF($T71="","",INDEX(Data!$F$2:$F$61,$T71))</f>
        <v>Construction</v>
      </c>
      <c r="G71" s="54" t="str">
        <f>IF($T71="","",INDEX(Data!$G$2:$G$61,$T71))</f>
        <v>Completed</v>
      </c>
      <c r="H71" s="55">
        <f>IF($T71="","",INDEX(Data!$H$2:$H$61,$T71))</f>
        <v>45416</v>
      </c>
      <c r="I71" s="55">
        <f>IF($T71="","",INDEX(Data!$I$2:$I$61,$T71))</f>
        <v>45427</v>
      </c>
      <c r="J71" s="56">
        <f>IF($T71="","",INDEX(Data!$J$2:$J$61,$T71))</f>
        <v>100</v>
      </c>
      <c r="K71" s="55">
        <f>IF($T71="","",INDEX(Data!$K$2:$K$61,$T71))</f>
        <v>45416</v>
      </c>
      <c r="L71" s="55">
        <f>IF($T71="","",INDEX(Data!$L$2:$L$61,$T71))</f>
        <v>45427</v>
      </c>
      <c r="M71" s="56" t="str">
        <f>IF($T71="","",INDEX(Data!$M$2:$M$61,$T71))</f>
        <v/>
      </c>
      <c r="N71" s="55" t="str">
        <f>IF($T71="","",INDEX(Data!$N$2:$N$61,$T71))</f>
        <v/>
      </c>
      <c r="O71" s="57">
        <f>IF($T71="","",INDEX(Data!$O$2:$O$61,$T71))</f>
        <v>0</v>
      </c>
      <c r="P71" s="54" t="str">
        <f>IF($T71="","",INDEX(Data!$P$2:$P$61,$T71))</f>
        <v>✓ Complete</v>
      </c>
      <c r="Q71" s="53" t="str">
        <f>IF($T71="","",INDEX(Data!$W$2:$W$61,$T71))</f>
        <v/>
      </c>
      <c r="R71" s="58" t="str">
        <f>IF($T71="","",INDEX(Data!$Q$2:$Q$61,$T71))</f>
        <v/>
      </c>
      <c r="S71">
        <f>IF($T71="","",INDEX(Data!$R$2:$R$61,$T71))</f>
        <v>0</v>
      </c>
      <c r="T71">
        <f>IFERROR(MATCH(44,Data!$V$2:$V$61,0),"")</f>
        <v>44</v>
      </c>
    </row>
    <row r="72">
      <c r="B72" s="52" t="str">
        <f>IF($T72="","",HYPERLINK("#'"&amp;INDEX(Data!$B$2:$B$61,$T72)&amp;"'!G"&amp;INDEX(Data!$C$2:$C$61,$T72),"✎"))</f>
        <v>✎</v>
      </c>
      <c r="C72" s="53" t="str">
        <f>IF($T72="","",INDEX(Data!$A$2:$A$61,$T72))</f>
        <v>Tom Reid - Package Manager</v>
      </c>
      <c r="D72" s="53" t="str">
        <f>IF($T72="","",INDEX(Data!$D$2:$D$61,$T72))</f>
        <v>A1270</v>
      </c>
      <c r="E72" s="53" t="str">
        <f>IF($T72="","",INDEX(Data!$E$2:$E$61,$T72))</f>
        <v>Build package 27</v>
      </c>
      <c r="F72" s="53" t="str">
        <f>IF($T72="","",INDEX(Data!$F$2:$F$61,$T72))</f>
        <v>Construction</v>
      </c>
      <c r="G72" s="54" t="str">
        <f>IF($T72="","",INDEX(Data!$G$2:$G$61,$T72))</f>
        <v>Completed</v>
      </c>
      <c r="H72" s="55">
        <f>IF($T72="","",INDEX(Data!$H$2:$H$61,$T72))</f>
        <v>45424</v>
      </c>
      <c r="I72" s="55">
        <f>IF($T72="","",INDEX(Data!$I$2:$I$61,$T72))</f>
        <v>45428</v>
      </c>
      <c r="J72" s="56">
        <f>IF($T72="","",INDEX(Data!$J$2:$J$61,$T72))</f>
        <v>100</v>
      </c>
      <c r="K72" s="55">
        <f>IF($T72="","",INDEX(Data!$K$2:$K$61,$T72))</f>
        <v>45424</v>
      </c>
      <c r="L72" s="55">
        <f>IF($T72="","",INDEX(Data!$L$2:$L$61,$T72))</f>
        <v>45428</v>
      </c>
      <c r="M72" s="56" t="str">
        <f>IF($T72="","",INDEX(Data!$M$2:$M$61,$T72))</f>
        <v/>
      </c>
      <c r="N72" s="55" t="str">
        <f>IF($T72="","",INDEX(Data!$N$2:$N$61,$T72))</f>
        <v/>
      </c>
      <c r="O72" s="57">
        <f>IF($T72="","",INDEX(Data!$O$2:$O$61,$T72))</f>
        <v>0</v>
      </c>
      <c r="P72" s="54" t="str">
        <f>IF($T72="","",INDEX(Data!$P$2:$P$61,$T72))</f>
        <v>✓ Complete</v>
      </c>
      <c r="Q72" s="53" t="str">
        <f>IF($T72="","",INDEX(Data!$W$2:$W$61,$T72))</f>
        <v/>
      </c>
      <c r="R72" s="58" t="str">
        <f>IF($T72="","",INDEX(Data!$Q$2:$Q$61,$T72))</f>
        <v/>
      </c>
      <c r="S72">
        <f>IF($T72="","",INDEX(Data!$R$2:$R$61,$T72))</f>
        <v>0</v>
      </c>
      <c r="T72">
        <f>IFERROR(MATCH(45,Data!$V$2:$V$61,0),"")</f>
        <v>45</v>
      </c>
    </row>
    <row r="73">
      <c r="B73" s="52" t="str">
        <f>IF($T73="","",HYPERLINK("#'"&amp;INDEX(Data!$B$2:$B$61,$T73)&amp;"'!G"&amp;INDEX(Data!$C$2:$C$61,$T73),"✎"))</f>
        <v>✎</v>
      </c>
      <c r="C73" s="53" t="str">
        <f>IF($T73="","",INDEX(Data!$A$2:$A$61,$T73))</f>
        <v>Tom Reid - Package Manager</v>
      </c>
      <c r="D73" s="53" t="str">
        <f>IF($T73="","",INDEX(Data!$D$2:$D$61,$T73))</f>
        <v>A1290</v>
      </c>
      <c r="E73" s="53" t="str">
        <f>IF($T73="","",INDEX(Data!$E$2:$E$61,$T73))</f>
        <v>Build package 29</v>
      </c>
      <c r="F73" s="53" t="str">
        <f>IF($T73="","",INDEX(Data!$F$2:$F$61,$T73))</f>
        <v>Construction</v>
      </c>
      <c r="G73" s="54" t="str">
        <f>IF($T73="","",INDEX(Data!$G$2:$G$61,$T73))</f>
        <v>Completed</v>
      </c>
      <c r="H73" s="55">
        <f>IF($T73="","",INDEX(Data!$H$2:$H$61,$T73))</f>
        <v>45436</v>
      </c>
      <c r="I73" s="55">
        <f>IF($T73="","",INDEX(Data!$I$2:$I$61,$T73))</f>
        <v>45439</v>
      </c>
      <c r="J73" s="56">
        <f>IF($T73="","",INDEX(Data!$J$2:$J$61,$T73))</f>
        <v>100</v>
      </c>
      <c r="K73" s="55">
        <f>IF($T73="","",INDEX(Data!$K$2:$K$61,$T73))</f>
        <v>45436</v>
      </c>
      <c r="L73" s="55">
        <f>IF($T73="","",INDEX(Data!$L$2:$L$61,$T73))</f>
        <v>45439</v>
      </c>
      <c r="M73" s="56" t="str">
        <f>IF($T73="","",INDEX(Data!$M$2:$M$61,$T73))</f>
        <v/>
      </c>
      <c r="N73" s="55" t="str">
        <f>IF($T73="","",INDEX(Data!$N$2:$N$61,$T73))</f>
        <v/>
      </c>
      <c r="O73" s="57">
        <f>IF($T73="","",INDEX(Data!$O$2:$O$61,$T73))</f>
        <v>0</v>
      </c>
      <c r="P73" s="54" t="str">
        <f>IF($T73="","",INDEX(Data!$P$2:$P$61,$T73))</f>
        <v>✓ Complete</v>
      </c>
      <c r="Q73" s="53" t="str">
        <f>IF($T73="","",INDEX(Data!$W$2:$W$61,$T73))</f>
        <v/>
      </c>
      <c r="R73" s="58" t="str">
        <f>IF($T73="","",INDEX(Data!$Q$2:$Q$61,$T73))</f>
        <v/>
      </c>
      <c r="S73">
        <f>IF($T73="","",INDEX(Data!$R$2:$R$61,$T73))</f>
        <v>0</v>
      </c>
      <c r="T73">
        <f>IFERROR(MATCH(46,Data!$V$2:$V$61,0),"")</f>
        <v>46</v>
      </c>
    </row>
    <row r="74">
      <c r="B74" s="52" t="str">
        <f>IF($T74="","",HYPERLINK("#'"&amp;INDEX(Data!$B$2:$B$61,$T74)&amp;"'!G"&amp;INDEX(Data!$C$2:$C$61,$T74),"✎"))</f>
        <v>✎</v>
      </c>
      <c r="C74" s="53" t="str">
        <f>IF($T74="","",INDEX(Data!$A$2:$A$61,$T74))</f>
        <v>Tom Reid - Package Manager</v>
      </c>
      <c r="D74" s="53" t="str">
        <f>IF($T74="","",INDEX(Data!$D$2:$D$61,$T74))</f>
        <v>A1310</v>
      </c>
      <c r="E74" s="53" t="str">
        <f>IF($T74="","",INDEX(Data!$E$2:$E$61,$T74))</f>
        <v>Build package 31</v>
      </c>
      <c r="F74" s="53" t="str">
        <f>IF($T74="","",INDEX(Data!$F$2:$F$61,$T74))</f>
        <v>Construction</v>
      </c>
      <c r="G74" s="54" t="str">
        <f>IF($T74="","",INDEX(Data!$G$2:$G$61,$T74))</f>
        <v>Completed</v>
      </c>
      <c r="H74" s="55">
        <f>IF($T74="","",INDEX(Data!$H$2:$H$61,$T74))</f>
        <v>45444</v>
      </c>
      <c r="I74" s="55">
        <f>IF($T74="","",INDEX(Data!$I$2:$I$61,$T74))</f>
        <v>45451</v>
      </c>
      <c r="J74" s="56">
        <f>IF($T74="","",INDEX(Data!$J$2:$J$61,$T74))</f>
        <v>100</v>
      </c>
      <c r="K74" s="55">
        <f>IF($T74="","",INDEX(Data!$K$2:$K$61,$T74))</f>
        <v>45444</v>
      </c>
      <c r="L74" s="55">
        <f>IF($T74="","",INDEX(Data!$L$2:$L$61,$T74))</f>
        <v>45451</v>
      </c>
      <c r="M74" s="56" t="str">
        <f>IF($T74="","",INDEX(Data!$M$2:$M$61,$T74))</f>
        <v/>
      </c>
      <c r="N74" s="55" t="str">
        <f>IF($T74="","",INDEX(Data!$N$2:$N$61,$T74))</f>
        <v/>
      </c>
      <c r="O74" s="57">
        <f>IF($T74="","",INDEX(Data!$O$2:$O$61,$T74))</f>
        <v>0</v>
      </c>
      <c r="P74" s="54" t="str">
        <f>IF($T74="","",INDEX(Data!$P$2:$P$61,$T74))</f>
        <v>✓ Complete</v>
      </c>
      <c r="Q74" s="53" t="str">
        <f>IF($T74="","",INDEX(Data!$W$2:$W$61,$T74))</f>
        <v/>
      </c>
      <c r="R74" s="58" t="str">
        <f>IF($T74="","",INDEX(Data!$Q$2:$Q$61,$T74))</f>
        <v/>
      </c>
      <c r="S74">
        <f>IF($T74="","",INDEX(Data!$R$2:$R$61,$T74))</f>
        <v>0</v>
      </c>
      <c r="T74">
        <f>IFERROR(MATCH(47,Data!$V$2:$V$61,0),"")</f>
        <v>47</v>
      </c>
    </row>
    <row r="75">
      <c r="B75" s="52" t="str">
        <f>IF($T75="","",HYPERLINK("#'"&amp;INDEX(Data!$B$2:$B$61,$T75)&amp;"'!G"&amp;INDEX(Data!$C$2:$C$61,$T75),"✎"))</f>
        <v>✎</v>
      </c>
      <c r="C75" s="53" t="str">
        <f>IF($T75="","",INDEX(Data!$A$2:$A$61,$T75))</f>
        <v>Tom Reid - Package Manager</v>
      </c>
      <c r="D75" s="53" t="str">
        <f>IF($T75="","",INDEX(Data!$D$2:$D$61,$T75))</f>
        <v>A1330</v>
      </c>
      <c r="E75" s="53" t="str">
        <f>IF($T75="","",INDEX(Data!$E$2:$E$61,$T75))</f>
        <v>Build package 33</v>
      </c>
      <c r="F75" s="53" t="str">
        <f>IF($T75="","",INDEX(Data!$F$2:$F$61,$T75))</f>
        <v>Construction</v>
      </c>
      <c r="G75" s="54" t="str">
        <f>IF($T75="","",INDEX(Data!$G$2:$G$61,$T75))</f>
        <v>Completed</v>
      </c>
      <c r="H75" s="55">
        <f>IF($T75="","",INDEX(Data!$H$2:$H$61,$T75))</f>
        <v>45450</v>
      </c>
      <c r="I75" s="55">
        <f>IF($T75="","",INDEX(Data!$I$2:$I$61,$T75))</f>
        <v>45453</v>
      </c>
      <c r="J75" s="56">
        <f>IF($T75="","",INDEX(Data!$J$2:$J$61,$T75))</f>
        <v>100</v>
      </c>
      <c r="K75" s="55">
        <f>IF($T75="","",INDEX(Data!$K$2:$K$61,$T75))</f>
        <v>45450</v>
      </c>
      <c r="L75" s="55">
        <f>IF($T75="","",INDEX(Data!$L$2:$L$61,$T75))</f>
        <v>45453</v>
      </c>
      <c r="M75" s="56" t="str">
        <f>IF($T75="","",INDEX(Data!$M$2:$M$61,$T75))</f>
        <v/>
      </c>
      <c r="N75" s="55" t="str">
        <f>IF($T75="","",INDEX(Data!$N$2:$N$61,$T75))</f>
        <v/>
      </c>
      <c r="O75" s="57">
        <f>IF($T75="","",INDEX(Data!$O$2:$O$61,$T75))</f>
        <v>0</v>
      </c>
      <c r="P75" s="54" t="str">
        <f>IF($T75="","",INDEX(Data!$P$2:$P$61,$T75))</f>
        <v>✓ Complete</v>
      </c>
      <c r="Q75" s="53" t="str">
        <f>IF($T75="","",INDEX(Data!$W$2:$W$61,$T75))</f>
        <v/>
      </c>
      <c r="R75" s="58" t="str">
        <f>IF($T75="","",INDEX(Data!$Q$2:$Q$61,$T75))</f>
        <v/>
      </c>
      <c r="S75">
        <f>IF($T75="","",INDEX(Data!$R$2:$R$61,$T75))</f>
        <v>0</v>
      </c>
      <c r="T75">
        <f>IFERROR(MATCH(48,Data!$V$2:$V$61,0),"")</f>
        <v>48</v>
      </c>
    </row>
    <row r="76">
      <c r="B76" s="52" t="str">
        <f>IF($T76="","",HYPERLINK("#'"&amp;INDEX(Data!$B$2:$B$61,$T76)&amp;"'!G"&amp;INDEX(Data!$C$2:$C$61,$T76),"✎"))</f>
        <v>✎</v>
      </c>
      <c r="C76" s="53" t="str">
        <f>IF($T76="","",INDEX(Data!$A$2:$A$61,$T76))</f>
        <v>Tom Reid - Package Manager</v>
      </c>
      <c r="D76" s="53" t="str">
        <f>IF($T76="","",INDEX(Data!$D$2:$D$61,$T76))</f>
        <v>A1350</v>
      </c>
      <c r="E76" s="53" t="str">
        <f>IF($T76="","",INDEX(Data!$E$2:$E$61,$T76))</f>
        <v>Build package 35</v>
      </c>
      <c r="F76" s="53" t="str">
        <f>IF($T76="","",INDEX(Data!$F$2:$F$61,$T76))</f>
        <v>Construction</v>
      </c>
      <c r="G76" s="54" t="str">
        <f>IF($T76="","",INDEX(Data!$G$2:$G$61,$T76))</f>
        <v>In Progress</v>
      </c>
      <c r="H76" s="55">
        <f>IF($T76="","",INDEX(Data!$H$2:$H$61,$T76))</f>
        <v>45453</v>
      </c>
      <c r="I76" s="55">
        <f>IF($T76="","",INDEX(Data!$I$2:$I$61,$T76))</f>
        <v>45464</v>
      </c>
      <c r="J76" s="56">
        <f>IF($T76="","",INDEX(Data!$J$2:$J$61,$T76))</f>
        <v>60</v>
      </c>
      <c r="K76" s="55">
        <f>IF($T76="","",INDEX(Data!$K$2:$K$61,$T76))</f>
        <v>45453</v>
      </c>
      <c r="L76" s="55" t="str">
        <f>IF($T76="","",INDEX(Data!$L$2:$L$61,$T76))</f>
        <v/>
      </c>
      <c r="M76" s="56" t="str">
        <f>IF($T76="","",INDEX(Data!$M$2:$M$61,$T76))</f>
        <v/>
      </c>
      <c r="N76" s="55" t="str">
        <f>IF($T76="","",INDEX(Data!$N$2:$N$61,$T76))</f>
        <v/>
      </c>
      <c r="O76" s="57">
        <f>IF($T76="","",INDEX(Data!$O$2:$O$61,$T76))</f>
        <v>0</v>
      </c>
      <c r="P76" s="54" t="str">
        <f>IF($T76="","",INDEX(Data!$P$2:$P$61,$T76))</f>
        <v>Finish date needed</v>
      </c>
      <c r="Q76" s="53" t="str">
        <f>IF($T76="","",INDEX(Data!$W$2:$W$61,$T76))</f>
        <v/>
      </c>
      <c r="R76" s="58" t="str">
        <f>IF($T76="","",INDEX(Data!$Q$2:$Q$61,$T76))</f>
        <v/>
      </c>
      <c r="S76">
        <f>IF($T76="","",INDEX(Data!$R$2:$R$61,$T76))</f>
        <v>0</v>
      </c>
      <c r="T76">
        <f>IFERROR(MATCH(49,Data!$V$2:$V$61,0),"")</f>
        <v>49</v>
      </c>
    </row>
    <row r="77">
      <c r="B77" s="52" t="str">
        <f>IF($T77="","",HYPERLINK("#'"&amp;INDEX(Data!$B$2:$B$61,$T77)&amp;"'!G"&amp;INDEX(Data!$C$2:$C$61,$T77),"✎"))</f>
        <v>✎</v>
      </c>
      <c r="C77" s="53" t="str">
        <f>IF($T77="","",INDEX(Data!$A$2:$A$61,$T77))</f>
        <v>Tom Reid - Package Manager</v>
      </c>
      <c r="D77" s="53" t="str">
        <f>IF($T77="","",INDEX(Data!$D$2:$D$61,$T77))</f>
        <v>A1370</v>
      </c>
      <c r="E77" s="53" t="str">
        <f>IF($T77="","",INDEX(Data!$E$2:$E$61,$T77))</f>
        <v>Build package 37</v>
      </c>
      <c r="F77" s="53" t="str">
        <f>IF($T77="","",INDEX(Data!$F$2:$F$61,$T77))</f>
        <v>Construction</v>
      </c>
      <c r="G77" s="54" t="str">
        <f>IF($T77="","",INDEX(Data!$G$2:$G$61,$T77))</f>
        <v>In Progress</v>
      </c>
      <c r="H77" s="55">
        <f>IF($T77="","",INDEX(Data!$H$2:$H$61,$T77))</f>
        <v>45468</v>
      </c>
      <c r="I77" s="55">
        <f>IF($T77="","",INDEX(Data!$I$2:$I$61,$T77))</f>
        <v>45475</v>
      </c>
      <c r="J77" s="56">
        <f>IF($T77="","",INDEX(Data!$J$2:$J$61,$T77))</f>
        <v>40</v>
      </c>
      <c r="K77" s="55">
        <f>IF($T77="","",INDEX(Data!$K$2:$K$61,$T77))</f>
        <v>45468</v>
      </c>
      <c r="L77" s="55" t="str">
        <f>IF($T77="","",INDEX(Data!$L$2:$L$61,$T77))</f>
        <v/>
      </c>
      <c r="M77" s="56" t="str">
        <f>IF($T77="","",INDEX(Data!$M$2:$M$61,$T77))</f>
        <v/>
      </c>
      <c r="N77" s="55" t="str">
        <f>IF($T77="","",INDEX(Data!$N$2:$N$61,$T77))</f>
        <v/>
      </c>
      <c r="O77" s="57">
        <f>IF($T77="","",INDEX(Data!$O$2:$O$61,$T77))</f>
        <v>0</v>
      </c>
      <c r="P77" s="54" t="str">
        <f>IF($T77="","",INDEX(Data!$P$2:$P$61,$T77))</f>
        <v>Not changed yet</v>
      </c>
      <c r="Q77" s="53" t="str">
        <f>IF($T77="","",INDEX(Data!$W$2:$W$61,$T77))</f>
        <v/>
      </c>
      <c r="R77" s="58" t="str">
        <f>IF($T77="","",INDEX(Data!$Q$2:$Q$61,$T77))</f>
        <v/>
      </c>
      <c r="S77">
        <f>IF($T77="","",INDEX(Data!$R$2:$R$61,$T77))</f>
        <v>0</v>
      </c>
      <c r="T77">
        <f>IFERROR(MATCH(50,Data!$V$2:$V$61,0),"")</f>
        <v>50</v>
      </c>
    </row>
    <row r="78">
      <c r="B78" s="52" t="str">
        <f>IF($T78="","",HYPERLINK("#'"&amp;INDEX(Data!$B$2:$B$61,$T78)&amp;"'!G"&amp;INDEX(Data!$C$2:$C$61,$T78),"✎"))</f>
        <v>✎</v>
      </c>
      <c r="C78" s="53" t="str">
        <f>IF($T78="","",INDEX(Data!$A$2:$A$61,$T78))</f>
        <v>Tom Reid - Package Manager</v>
      </c>
      <c r="D78" s="53" t="str">
        <f>IF($T78="","",INDEX(Data!$D$2:$D$61,$T78))</f>
        <v>A1390</v>
      </c>
      <c r="E78" s="53" t="str">
        <f>IF($T78="","",INDEX(Data!$E$2:$E$61,$T78))</f>
        <v>Build package 39</v>
      </c>
      <c r="F78" s="53" t="str">
        <f>IF($T78="","",INDEX(Data!$F$2:$F$61,$T78))</f>
        <v>Construction</v>
      </c>
      <c r="G78" s="54" t="str">
        <f>IF($T78="","",INDEX(Data!$G$2:$G$61,$T78))</f>
        <v>Not Started</v>
      </c>
      <c r="H78" s="55">
        <f>IF($T78="","",INDEX(Data!$H$2:$H$61,$T78))</f>
        <v>45478</v>
      </c>
      <c r="I78" s="55">
        <f>IF($T78="","",INDEX(Data!$I$2:$I$61,$T78))</f>
        <v>45548</v>
      </c>
      <c r="J78" s="56">
        <f>IF($T78="","",INDEX(Data!$J$2:$J$61,$T78))</f>
        <v>0</v>
      </c>
      <c r="K78" s="55" t="str">
        <f>IF($T78="","",INDEX(Data!$K$2:$K$61,$T78))</f>
        <v/>
      </c>
      <c r="L78" s="55" t="str">
        <f>IF($T78="","",INDEX(Data!$L$2:$L$61,$T78))</f>
        <v/>
      </c>
      <c r="M78" s="56" t="str">
        <f>IF($T78="","",INDEX(Data!$M$2:$M$61,$T78))</f>
        <v/>
      </c>
      <c r="N78" s="55" t="str">
        <f>IF($T78="","",INDEX(Data!$N$2:$N$61,$T78))</f>
        <v/>
      </c>
      <c r="O78" s="57">
        <f>IF($T78="","",INDEX(Data!$O$2:$O$61,$T78))</f>
        <v>0</v>
      </c>
      <c r="P78" s="54" t="str">
        <f>IF($T78="","",INDEX(Data!$P$2:$P$61,$T78))</f>
        <v>Not changed yet</v>
      </c>
      <c r="Q78" s="53" t="str">
        <f>IF($T78="","",INDEX(Data!$W$2:$W$61,$T78))</f>
        <v/>
      </c>
      <c r="R78" s="58" t="str">
        <f>IF($T78="","",INDEX(Data!$Q$2:$Q$61,$T78))</f>
        <v/>
      </c>
      <c r="S78">
        <f>IF($T78="","",INDEX(Data!$R$2:$R$61,$T78))</f>
        <v>0</v>
      </c>
      <c r="T78">
        <f>IFERROR(MATCH(51,Data!$V$2:$V$61,0),"")</f>
        <v>51</v>
      </c>
    </row>
    <row r="79">
      <c r="B79" s="52" t="str">
        <f>IF($T79="","",HYPERLINK("#'"&amp;INDEX(Data!$B$2:$B$61,$T79)&amp;"'!G"&amp;INDEX(Data!$C$2:$C$61,$T79),"✎"))</f>
        <v>✎</v>
      </c>
      <c r="C79" s="53" t="str">
        <f>IF($T79="","",INDEX(Data!$A$2:$A$61,$T79))</f>
        <v>Tom Reid - Package Manager</v>
      </c>
      <c r="D79" s="53" t="str">
        <f>IF($T79="","",INDEX(Data!$D$2:$D$61,$T79))</f>
        <v>A1410</v>
      </c>
      <c r="E79" s="53" t="str">
        <f>IF($T79="","",INDEX(Data!$E$2:$E$61,$T79))</f>
        <v>Build package 41</v>
      </c>
      <c r="F79" s="53" t="str">
        <f>IF($T79="","",INDEX(Data!$F$2:$F$61,$T79))</f>
        <v>Construction</v>
      </c>
      <c r="G79" s="54" t="str">
        <f>IF($T79="","",INDEX(Data!$G$2:$G$61,$T79))</f>
        <v>Not Started</v>
      </c>
      <c r="H79" s="55">
        <f>IF($T79="","",INDEX(Data!$H$2:$H$61,$T79))</f>
        <v>45516</v>
      </c>
      <c r="I79" s="55">
        <f>IF($T79="","",INDEX(Data!$I$2:$I$61,$T79))</f>
        <v>45537</v>
      </c>
      <c r="J79" s="56">
        <f>IF($T79="","",INDEX(Data!$J$2:$J$61,$T79))</f>
        <v>0</v>
      </c>
      <c r="K79" s="55" t="str">
        <f>IF($T79="","",INDEX(Data!$K$2:$K$61,$T79))</f>
        <v/>
      </c>
      <c r="L79" s="55" t="str">
        <f>IF($T79="","",INDEX(Data!$L$2:$L$61,$T79))</f>
        <v/>
      </c>
      <c r="M79" s="56" t="str">
        <f>IF($T79="","",INDEX(Data!$M$2:$M$61,$T79))</f>
        <v/>
      </c>
      <c r="N79" s="55" t="str">
        <f>IF($T79="","",INDEX(Data!$N$2:$N$61,$T79))</f>
        <v/>
      </c>
      <c r="O79" s="57">
        <f>IF($T79="","",INDEX(Data!$O$2:$O$61,$T79))</f>
        <v>0</v>
      </c>
      <c r="P79" s="54" t="str">
        <f>IF($T79="","",INDEX(Data!$P$2:$P$61,$T79))</f>
        <v>Not changed yet</v>
      </c>
      <c r="Q79" s="53" t="str">
        <f>IF($T79="","",INDEX(Data!$W$2:$W$61,$T79))</f>
        <v/>
      </c>
      <c r="R79" s="58" t="str">
        <f>IF($T79="","",INDEX(Data!$Q$2:$Q$61,$T79))</f>
        <v/>
      </c>
      <c r="S79">
        <f>IF($T79="","",INDEX(Data!$R$2:$R$61,$T79))</f>
        <v>0</v>
      </c>
      <c r="T79">
        <f>IFERROR(MATCH(52,Data!$V$2:$V$61,0),"")</f>
        <v>52</v>
      </c>
    </row>
    <row r="80">
      <c r="B80" s="52" t="str">
        <f>IF($T80="","",HYPERLINK("#'"&amp;INDEX(Data!$B$2:$B$61,$T80)&amp;"'!G"&amp;INDEX(Data!$C$2:$C$61,$T80),"✎"))</f>
        <v>✎</v>
      </c>
      <c r="C80" s="53" t="str">
        <f>IF($T80="","",INDEX(Data!$A$2:$A$61,$T80))</f>
        <v>Tom Reid - Package Manager</v>
      </c>
      <c r="D80" s="53" t="str">
        <f>IF($T80="","",INDEX(Data!$D$2:$D$61,$T80))</f>
        <v>A1430</v>
      </c>
      <c r="E80" s="53" t="str">
        <f>IF($T80="","",INDEX(Data!$E$2:$E$61,$T80))</f>
        <v>Build package 43</v>
      </c>
      <c r="F80" s="53" t="str">
        <f>IF($T80="","",INDEX(Data!$F$2:$F$61,$T80))</f>
        <v>Construction</v>
      </c>
      <c r="G80" s="54" t="str">
        <f>IF($T80="","",INDEX(Data!$G$2:$G$61,$T80))</f>
        <v>Not Started</v>
      </c>
      <c r="H80" s="55">
        <f>IF($T80="","",INDEX(Data!$H$2:$H$61,$T80))</f>
        <v>45527</v>
      </c>
      <c r="I80" s="55">
        <f>IF($T80="","",INDEX(Data!$I$2:$I$61,$T80))</f>
        <v>45548</v>
      </c>
      <c r="J80" s="56">
        <f>IF($T80="","",INDEX(Data!$J$2:$J$61,$T80))</f>
        <v>0</v>
      </c>
      <c r="K80" s="55" t="str">
        <f>IF($T80="","",INDEX(Data!$K$2:$K$61,$T80))</f>
        <v/>
      </c>
      <c r="L80" s="55" t="str">
        <f>IF($T80="","",INDEX(Data!$L$2:$L$61,$T80))</f>
        <v/>
      </c>
      <c r="M80" s="56" t="str">
        <f>IF($T80="","",INDEX(Data!$M$2:$M$61,$T80))</f>
        <v/>
      </c>
      <c r="N80" s="55" t="str">
        <f>IF($T80="","",INDEX(Data!$N$2:$N$61,$T80))</f>
        <v/>
      </c>
      <c r="O80" s="57">
        <f>IF($T80="","",INDEX(Data!$O$2:$O$61,$T80))</f>
        <v>0</v>
      </c>
      <c r="P80" s="54" t="str">
        <f>IF($T80="","",INDEX(Data!$P$2:$P$61,$T80))</f>
        <v>Not changed yet</v>
      </c>
      <c r="Q80" s="53" t="str">
        <f>IF($T80="","",INDEX(Data!$W$2:$W$61,$T80))</f>
        <v/>
      </c>
      <c r="R80" s="58" t="str">
        <f>IF($T80="","",INDEX(Data!$Q$2:$Q$61,$T80))</f>
        <v/>
      </c>
      <c r="S80">
        <f>IF($T80="","",INDEX(Data!$R$2:$R$61,$T80))</f>
        <v>0</v>
      </c>
      <c r="T80">
        <f>IFERROR(MATCH(53,Data!$V$2:$V$61,0),"")</f>
        <v>53</v>
      </c>
    </row>
    <row r="81">
      <c r="B81" s="52" t="str">
        <f>IF($T81="","",HYPERLINK("#'"&amp;INDEX(Data!$B$2:$B$61,$T81)&amp;"'!G"&amp;INDEX(Data!$C$2:$C$61,$T81),"✎"))</f>
        <v>✎</v>
      </c>
      <c r="C81" s="53" t="str">
        <f>IF($T81="","",INDEX(Data!$A$2:$A$61,$T81))</f>
        <v>Tom Reid - Package Manager</v>
      </c>
      <c r="D81" s="53" t="str">
        <f>IF($T81="","",INDEX(Data!$D$2:$D$61,$T81))</f>
        <v>A1450</v>
      </c>
      <c r="E81" s="53" t="str">
        <f>IF($T81="","",INDEX(Data!$E$2:$E$61,$T81))</f>
        <v>Build package 45</v>
      </c>
      <c r="F81" s="53" t="str">
        <f>IF($T81="","",INDEX(Data!$F$2:$F$61,$T81))</f>
        <v>Construction</v>
      </c>
      <c r="G81" s="54" t="str">
        <f>IF($T81="","",INDEX(Data!$G$2:$G$61,$T81))</f>
        <v>Not Started</v>
      </c>
      <c r="H81" s="55">
        <f>IF($T81="","",INDEX(Data!$H$2:$H$61,$T81))</f>
        <v>45540</v>
      </c>
      <c r="I81" s="55">
        <f>IF($T81="","",INDEX(Data!$I$2:$I$61,$T81))</f>
        <v>45561</v>
      </c>
      <c r="J81" s="56">
        <f>IF($T81="","",INDEX(Data!$J$2:$J$61,$T81))</f>
        <v>0</v>
      </c>
      <c r="K81" s="55" t="str">
        <f>IF($T81="","",INDEX(Data!$K$2:$K$61,$T81))</f>
        <v/>
      </c>
      <c r="L81" s="55" t="str">
        <f>IF($T81="","",INDEX(Data!$L$2:$L$61,$T81))</f>
        <v/>
      </c>
      <c r="M81" s="56" t="str">
        <f>IF($T81="","",INDEX(Data!$M$2:$M$61,$T81))</f>
        <v/>
      </c>
      <c r="N81" s="55" t="str">
        <f>IF($T81="","",INDEX(Data!$N$2:$N$61,$T81))</f>
        <v/>
      </c>
      <c r="O81" s="57">
        <f>IF($T81="","",INDEX(Data!$O$2:$O$61,$T81))</f>
        <v>0</v>
      </c>
      <c r="P81" s="54" t="str">
        <f>IF($T81="","",INDEX(Data!$P$2:$P$61,$T81))</f>
        <v>Not changed yet</v>
      </c>
      <c r="Q81" s="53" t="str">
        <f>IF($T81="","",INDEX(Data!$W$2:$W$61,$T81))</f>
        <v/>
      </c>
      <c r="R81" s="58" t="str">
        <f>IF($T81="","",INDEX(Data!$Q$2:$Q$61,$T81))</f>
        <v/>
      </c>
      <c r="S81">
        <f>IF($T81="","",INDEX(Data!$R$2:$R$61,$T81))</f>
        <v>0</v>
      </c>
      <c r="T81">
        <f>IFERROR(MATCH(54,Data!$V$2:$V$61,0),"")</f>
        <v>54</v>
      </c>
    </row>
    <row r="82">
      <c r="B82" s="52" t="str">
        <f>IF($T82="","",HYPERLINK("#'"&amp;INDEX(Data!$B$2:$B$61,$T82)&amp;"'!G"&amp;INDEX(Data!$C$2:$C$61,$T82),"✎"))</f>
        <v>✎</v>
      </c>
      <c r="C82" s="53" t="str">
        <f>IF($T82="","",INDEX(Data!$A$2:$A$61,$T82))</f>
        <v>Tom Reid - Package Manager</v>
      </c>
      <c r="D82" s="53" t="str">
        <f>IF($T82="","",INDEX(Data!$D$2:$D$61,$T82))</f>
        <v>A1470</v>
      </c>
      <c r="E82" s="53" t="str">
        <f>IF($T82="","",INDEX(Data!$E$2:$E$61,$T82))</f>
        <v>Build package 47</v>
      </c>
      <c r="F82" s="53" t="str">
        <f>IF($T82="","",INDEX(Data!$F$2:$F$61,$T82))</f>
        <v>Construction</v>
      </c>
      <c r="G82" s="54" t="str">
        <f>IF($T82="","",INDEX(Data!$G$2:$G$61,$T82))</f>
        <v>Not Started</v>
      </c>
      <c r="H82" s="55">
        <f>IF($T82="","",INDEX(Data!$H$2:$H$61,$T82))</f>
        <v>45551</v>
      </c>
      <c r="I82" s="55">
        <f>IF($T82="","",INDEX(Data!$I$2:$I$61,$T82))</f>
        <v>45558</v>
      </c>
      <c r="J82" s="56">
        <f>IF($T82="","",INDEX(Data!$J$2:$J$61,$T82))</f>
        <v>0</v>
      </c>
      <c r="K82" s="55" t="str">
        <f>IF($T82="","",INDEX(Data!$K$2:$K$61,$T82))</f>
        <v/>
      </c>
      <c r="L82" s="55" t="str">
        <f>IF($T82="","",INDEX(Data!$L$2:$L$61,$T82))</f>
        <v/>
      </c>
      <c r="M82" s="56" t="str">
        <f>IF($T82="","",INDEX(Data!$M$2:$M$61,$T82))</f>
        <v/>
      </c>
      <c r="N82" s="55" t="str">
        <f>IF($T82="","",INDEX(Data!$N$2:$N$61,$T82))</f>
        <v/>
      </c>
      <c r="O82" s="57">
        <f>IF($T82="","",INDEX(Data!$O$2:$O$61,$T82))</f>
        <v>0</v>
      </c>
      <c r="P82" s="54" t="str">
        <f>IF($T82="","",INDEX(Data!$P$2:$P$61,$T82))</f>
        <v>Not changed yet</v>
      </c>
      <c r="Q82" s="53" t="str">
        <f>IF($T82="","",INDEX(Data!$W$2:$W$61,$T82))</f>
        <v/>
      </c>
      <c r="R82" s="58" t="str">
        <f>IF($T82="","",INDEX(Data!$Q$2:$Q$61,$T82))</f>
        <v/>
      </c>
      <c r="S82">
        <f>IF($T82="","",INDEX(Data!$R$2:$R$61,$T82))</f>
        <v>0</v>
      </c>
      <c r="T82">
        <f>IFERROR(MATCH(55,Data!$V$2:$V$61,0),"")</f>
        <v>55</v>
      </c>
    </row>
    <row r="83">
      <c r="B83" s="52" t="str">
        <f>IF($T83="","",HYPERLINK("#'"&amp;INDEX(Data!$B$2:$B$61,$T83)&amp;"'!G"&amp;INDEX(Data!$C$2:$C$61,$T83),"✎"))</f>
        <v>✎</v>
      </c>
      <c r="C83" s="53" t="str">
        <f>IF($T83="","",INDEX(Data!$A$2:$A$61,$T83))</f>
        <v>Tom Reid - Package Manager</v>
      </c>
      <c r="D83" s="53" t="str">
        <f>IF($T83="","",INDEX(Data!$D$2:$D$61,$T83))</f>
        <v>A1490</v>
      </c>
      <c r="E83" s="53" t="str">
        <f>IF($T83="","",INDEX(Data!$E$2:$E$61,$T83))</f>
        <v>Build package 49</v>
      </c>
      <c r="F83" s="53" t="str">
        <f>IF($T83="","",INDEX(Data!$F$2:$F$61,$T83))</f>
        <v>Construction</v>
      </c>
      <c r="G83" s="54" t="str">
        <f>IF($T83="","",INDEX(Data!$G$2:$G$61,$T83))</f>
        <v>Not Started</v>
      </c>
      <c r="H83" s="55">
        <f>IF($T83="","",INDEX(Data!$H$2:$H$61,$T83))</f>
        <v>45561</v>
      </c>
      <c r="I83" s="55">
        <f>IF($T83="","",INDEX(Data!$I$2:$I$61,$T83))</f>
        <v>45572</v>
      </c>
      <c r="J83" s="56">
        <f>IF($T83="","",INDEX(Data!$J$2:$J$61,$T83))</f>
        <v>0</v>
      </c>
      <c r="K83" s="55" t="str">
        <f>IF($T83="","",INDEX(Data!$K$2:$K$61,$T83))</f>
        <v/>
      </c>
      <c r="L83" s="55" t="str">
        <f>IF($T83="","",INDEX(Data!$L$2:$L$61,$T83))</f>
        <v/>
      </c>
      <c r="M83" s="56" t="str">
        <f>IF($T83="","",INDEX(Data!$M$2:$M$61,$T83))</f>
        <v/>
      </c>
      <c r="N83" s="55" t="str">
        <f>IF($T83="","",INDEX(Data!$N$2:$N$61,$T83))</f>
        <v/>
      </c>
      <c r="O83" s="57">
        <f>IF($T83="","",INDEX(Data!$O$2:$O$61,$T83))</f>
        <v>0</v>
      </c>
      <c r="P83" s="54" t="str">
        <f>IF($T83="","",INDEX(Data!$P$2:$P$61,$T83))</f>
        <v>Not changed yet</v>
      </c>
      <c r="Q83" s="53" t="str">
        <f>IF($T83="","",INDEX(Data!$W$2:$W$61,$T83))</f>
        <v/>
      </c>
      <c r="R83" s="58" t="str">
        <f>IF($T83="","",INDEX(Data!$Q$2:$Q$61,$T83))</f>
        <v/>
      </c>
      <c r="S83">
        <f>IF($T83="","",INDEX(Data!$R$2:$R$61,$T83))</f>
        <v>0</v>
      </c>
      <c r="T83">
        <f>IFERROR(MATCH(56,Data!$V$2:$V$61,0),"")</f>
        <v>56</v>
      </c>
    </row>
    <row r="84">
      <c r="B84" s="52" t="str">
        <f>IF($T84="","",HYPERLINK("#'"&amp;INDEX(Data!$B$2:$B$61,$T84)&amp;"'!G"&amp;INDEX(Data!$C$2:$C$61,$T84),"✎"))</f>
        <v>✎</v>
      </c>
      <c r="C84" s="53" t="str">
        <f>IF($T84="","",INDEX(Data!$A$2:$A$61,$T84))</f>
        <v>Tom Reid - Package Manager</v>
      </c>
      <c r="D84" s="53" t="str">
        <f>IF($T84="","",INDEX(Data!$D$2:$D$61,$T84))</f>
        <v>A1510</v>
      </c>
      <c r="E84" s="53" t="str">
        <f>IF($T84="","",INDEX(Data!$E$2:$E$61,$T84))</f>
        <v>Build package 51</v>
      </c>
      <c r="F84" s="53" t="str">
        <f>IF($T84="","",INDEX(Data!$F$2:$F$61,$T84))</f>
        <v>Construction</v>
      </c>
      <c r="G84" s="54" t="str">
        <f>IF($T84="","",INDEX(Data!$G$2:$G$61,$T84))</f>
        <v>Not Started</v>
      </c>
      <c r="H84" s="55">
        <f>IF($T84="","",INDEX(Data!$H$2:$H$61,$T84))</f>
        <v>45568</v>
      </c>
      <c r="I84" s="55">
        <f>IF($T84="","",INDEX(Data!$I$2:$I$61,$T84))</f>
        <v>45572</v>
      </c>
      <c r="J84" s="56">
        <f>IF($T84="","",INDEX(Data!$J$2:$J$61,$T84))</f>
        <v>0</v>
      </c>
      <c r="K84" s="55" t="str">
        <f>IF($T84="","",INDEX(Data!$K$2:$K$61,$T84))</f>
        <v/>
      </c>
      <c r="L84" s="55" t="str">
        <f>IF($T84="","",INDEX(Data!$L$2:$L$61,$T84))</f>
        <v/>
      </c>
      <c r="M84" s="56" t="str">
        <f>IF($T84="","",INDEX(Data!$M$2:$M$61,$T84))</f>
        <v/>
      </c>
      <c r="N84" s="55" t="str">
        <f>IF($T84="","",INDEX(Data!$N$2:$N$61,$T84))</f>
        <v/>
      </c>
      <c r="O84" s="57">
        <f>IF($T84="","",INDEX(Data!$O$2:$O$61,$T84))</f>
        <v>0</v>
      </c>
      <c r="P84" s="54" t="str">
        <f>IF($T84="","",INDEX(Data!$P$2:$P$61,$T84))</f>
        <v>Not changed yet</v>
      </c>
      <c r="Q84" s="53" t="str">
        <f>IF($T84="","",INDEX(Data!$W$2:$W$61,$T84))</f>
        <v/>
      </c>
      <c r="R84" s="58" t="str">
        <f>IF($T84="","",INDEX(Data!$Q$2:$Q$61,$T84))</f>
        <v/>
      </c>
      <c r="S84">
        <f>IF($T84="","",INDEX(Data!$R$2:$R$61,$T84))</f>
        <v>0</v>
      </c>
      <c r="T84">
        <f>IFERROR(MATCH(57,Data!$V$2:$V$61,0),"")</f>
        <v>57</v>
      </c>
    </row>
    <row r="85">
      <c r="B85" s="52" t="str">
        <f>IF($T85="","",HYPERLINK("#'"&amp;INDEX(Data!$B$2:$B$61,$T85)&amp;"'!G"&amp;INDEX(Data!$C$2:$C$61,$T85),"✎"))</f>
        <v>✎</v>
      </c>
      <c r="C85" s="53" t="str">
        <f>IF($T85="","",INDEX(Data!$A$2:$A$61,$T85))</f>
        <v>Tom Reid - Package Manager</v>
      </c>
      <c r="D85" s="53" t="str">
        <f>IF($T85="","",INDEX(Data!$D$2:$D$61,$T85))</f>
        <v>A1530</v>
      </c>
      <c r="E85" s="53" t="str">
        <f>IF($T85="","",INDEX(Data!$E$2:$E$61,$T85))</f>
        <v>Build package 53</v>
      </c>
      <c r="F85" s="53" t="str">
        <f>IF($T85="","",INDEX(Data!$F$2:$F$61,$T85))</f>
        <v>Construction</v>
      </c>
      <c r="G85" s="54" t="str">
        <f>IF($T85="","",INDEX(Data!$G$2:$G$61,$T85))</f>
        <v>Not Started</v>
      </c>
      <c r="H85" s="55">
        <f>IF($T85="","",INDEX(Data!$H$2:$H$61,$T85))</f>
        <v>45575</v>
      </c>
      <c r="I85" s="55">
        <f>IF($T85="","",INDEX(Data!$I$2:$I$61,$T85))</f>
        <v>45645</v>
      </c>
      <c r="J85" s="56">
        <f>IF($T85="","",INDEX(Data!$J$2:$J$61,$T85))</f>
        <v>0</v>
      </c>
      <c r="K85" s="55" t="str">
        <f>IF($T85="","",INDEX(Data!$K$2:$K$61,$T85))</f>
        <v/>
      </c>
      <c r="L85" s="55" t="str">
        <f>IF($T85="","",INDEX(Data!$L$2:$L$61,$T85))</f>
        <v/>
      </c>
      <c r="M85" s="56" t="str">
        <f>IF($T85="","",INDEX(Data!$M$2:$M$61,$T85))</f>
        <v/>
      </c>
      <c r="N85" s="55" t="str">
        <f>IF($T85="","",INDEX(Data!$N$2:$N$61,$T85))</f>
        <v/>
      </c>
      <c r="O85" s="57">
        <f>IF($T85="","",INDEX(Data!$O$2:$O$61,$T85))</f>
        <v>0</v>
      </c>
      <c r="P85" s="54" t="str">
        <f>IF($T85="","",INDEX(Data!$P$2:$P$61,$T85))</f>
        <v>Not changed yet</v>
      </c>
      <c r="Q85" s="53" t="str">
        <f>IF($T85="","",INDEX(Data!$W$2:$W$61,$T85))</f>
        <v/>
      </c>
      <c r="R85" s="58" t="str">
        <f>IF($T85="","",INDEX(Data!$Q$2:$Q$61,$T85))</f>
        <v/>
      </c>
      <c r="S85">
        <f>IF($T85="","",INDEX(Data!$R$2:$R$61,$T85))</f>
        <v>0</v>
      </c>
      <c r="T85">
        <f>IFERROR(MATCH(58,Data!$V$2:$V$61,0),"")</f>
        <v>58</v>
      </c>
    </row>
    <row r="86">
      <c r="B86" s="52" t="str">
        <f>IF($T86="","",HYPERLINK("#'"&amp;INDEX(Data!$B$2:$B$61,$T86)&amp;"'!G"&amp;INDEX(Data!$C$2:$C$61,$T86),"✎"))</f>
        <v>✎</v>
      </c>
      <c r="C86" s="53" t="str">
        <f>IF($T86="","",INDEX(Data!$A$2:$A$61,$T86))</f>
        <v>Tom Reid - Package Manager</v>
      </c>
      <c r="D86" s="53" t="str">
        <f>IF($T86="","",INDEX(Data!$D$2:$D$61,$T86))</f>
        <v>A1550</v>
      </c>
      <c r="E86" s="53" t="str">
        <f>IF($T86="","",INDEX(Data!$E$2:$E$61,$T86))</f>
        <v>Build package 55</v>
      </c>
      <c r="F86" s="53" t="str">
        <f>IF($T86="","",INDEX(Data!$F$2:$F$61,$T86))</f>
        <v>Construction</v>
      </c>
      <c r="G86" s="54" t="str">
        <f>IF($T86="","",INDEX(Data!$G$2:$G$61,$T86))</f>
        <v>Not Started</v>
      </c>
      <c r="H86" s="55">
        <f>IF($T86="","",INDEX(Data!$H$2:$H$61,$T86))</f>
        <v>45611</v>
      </c>
      <c r="I86" s="55">
        <f>IF($T86="","",INDEX(Data!$I$2:$I$61,$T86))</f>
        <v>45622</v>
      </c>
      <c r="J86" s="56">
        <f>IF($T86="","",INDEX(Data!$J$2:$J$61,$T86))</f>
        <v>0</v>
      </c>
      <c r="K86" s="55" t="str">
        <f>IF($T86="","",INDEX(Data!$K$2:$K$61,$T86))</f>
        <v/>
      </c>
      <c r="L86" s="55" t="str">
        <f>IF($T86="","",INDEX(Data!$L$2:$L$61,$T86))</f>
        <v/>
      </c>
      <c r="M86" s="56" t="str">
        <f>IF($T86="","",INDEX(Data!$M$2:$M$61,$T86))</f>
        <v/>
      </c>
      <c r="N86" s="55" t="str">
        <f>IF($T86="","",INDEX(Data!$N$2:$N$61,$T86))</f>
        <v/>
      </c>
      <c r="O86" s="57">
        <f>IF($T86="","",INDEX(Data!$O$2:$O$61,$T86))</f>
        <v>0</v>
      </c>
      <c r="P86" s="54" t="str">
        <f>IF($T86="","",INDEX(Data!$P$2:$P$61,$T86))</f>
        <v>Not changed yet</v>
      </c>
      <c r="Q86" s="53" t="str">
        <f>IF($T86="","",INDEX(Data!$W$2:$W$61,$T86))</f>
        <v/>
      </c>
      <c r="R86" s="58" t="str">
        <f>IF($T86="","",INDEX(Data!$Q$2:$Q$61,$T86))</f>
        <v/>
      </c>
      <c r="S86">
        <f>IF($T86="","",INDEX(Data!$R$2:$R$61,$T86))</f>
        <v>0</v>
      </c>
      <c r="T86">
        <f>IFERROR(MATCH(59,Data!$V$2:$V$61,0),"")</f>
        <v>59</v>
      </c>
    </row>
    <row r="87">
      <c r="B87" s="52" t="str">
        <f>IF($T87="","",HYPERLINK("#'"&amp;INDEX(Data!$B$2:$B$61,$T87)&amp;"'!G"&amp;INDEX(Data!$C$2:$C$61,$T87),"✎"))</f>
        <v>✎</v>
      </c>
      <c r="C87" s="53" t="str">
        <f>IF($T87="","",INDEX(Data!$A$2:$A$61,$T87))</f>
        <v>Tom Reid - Package Manager</v>
      </c>
      <c r="D87" s="53" t="str">
        <f>IF($T87="","",INDEX(Data!$D$2:$D$61,$T87))</f>
        <v>A1570</v>
      </c>
      <c r="E87" s="53" t="str">
        <f>IF($T87="","",INDEX(Data!$E$2:$E$61,$T87))</f>
        <v>Build package 57</v>
      </c>
      <c r="F87" s="53" t="str">
        <f>IF($T87="","",INDEX(Data!$F$2:$F$61,$T87))</f>
        <v>Construction</v>
      </c>
      <c r="G87" s="54" t="str">
        <f>IF($T87="","",INDEX(Data!$G$2:$G$61,$T87))</f>
        <v>Not Started</v>
      </c>
      <c r="H87" s="55">
        <f>IF($T87="","",INDEX(Data!$H$2:$H$61,$T87))</f>
        <v>45623</v>
      </c>
      <c r="I87" s="55">
        <f>IF($T87="","",INDEX(Data!$I$2:$I$61,$T87))</f>
        <v>45627</v>
      </c>
      <c r="J87" s="56">
        <f>IF($T87="","",INDEX(Data!$J$2:$J$61,$T87))</f>
        <v>0</v>
      </c>
      <c r="K87" s="55" t="str">
        <f>IF($T87="","",INDEX(Data!$K$2:$K$61,$T87))</f>
        <v/>
      </c>
      <c r="L87" s="55" t="str">
        <f>IF($T87="","",INDEX(Data!$L$2:$L$61,$T87))</f>
        <v/>
      </c>
      <c r="M87" s="56" t="str">
        <f>IF($T87="","",INDEX(Data!$M$2:$M$61,$T87))</f>
        <v/>
      </c>
      <c r="N87" s="55" t="str">
        <f>IF($T87="","",INDEX(Data!$N$2:$N$61,$T87))</f>
        <v/>
      </c>
      <c r="O87" s="57">
        <f>IF($T87="","",INDEX(Data!$O$2:$O$61,$T87))</f>
        <v>0</v>
      </c>
      <c r="P87" s="54" t="str">
        <f>IF($T87="","",INDEX(Data!$P$2:$P$61,$T87))</f>
        <v>Not changed yet</v>
      </c>
      <c r="Q87" s="53" t="str">
        <f>IF($T87="","",INDEX(Data!$W$2:$W$61,$T87))</f>
        <v/>
      </c>
      <c r="R87" s="58" t="str">
        <f>IF($T87="","",INDEX(Data!$Q$2:$Q$61,$T87))</f>
        <v/>
      </c>
      <c r="S87">
        <f>IF($T87="","",INDEX(Data!$R$2:$R$61,$T87))</f>
        <v>0</v>
      </c>
      <c r="T87">
        <f>IFERROR(MATCH(60,Data!$V$2:$V$61,0),"")</f>
        <v>60</v>
      </c>
    </row>
  </sheetData>
  <sheetProtection selectLockedCells="0" selectUnlockedCells="0" sheet="1" objects="0" insertRows="1" insertHyperlinks="1" autoFilter="0" scenarios="0" formatColumns="0" deleteColumns="1" insertColumns="1" pivotTables="1" deleteRows="1" formatCells="1" formatRows="0" sort="0"/>
  <mergeCells count="22">
    <mergeCell ref="Q7:R7"/>
    <mergeCell ref="C5:D5"/>
    <mergeCell ref="N8:P8"/>
    <mergeCell ref="B3:R3"/>
    <mergeCell ref="H7:J7"/>
    <mergeCell ref="F7:G7"/>
    <mergeCell ref="Q8:R8"/>
    <mergeCell ref="K8:M8"/>
    <mergeCell ref="G5:I5"/>
    <mergeCell ref="N9:P9"/>
    <mergeCell ref="C9:D9"/>
    <mergeCell ref="K7:M7"/>
    <mergeCell ref="F8:G8"/>
    <mergeCell ref="E5"/>
    <mergeCell ref="H8:J8"/>
    <mergeCell ref="Q9:R9"/>
    <mergeCell ref="F9:G9"/>
    <mergeCell ref="C8:D8"/>
    <mergeCell ref="N7:P7"/>
    <mergeCell ref="C7:D7"/>
    <mergeCell ref="K9:M9"/>
    <mergeCell ref="H9:J9"/>
  </mergeCells>
  <conditionalFormatting sqref="F8">
    <cfRule type="cellIs" priority="1" operator="greaterThan" dxfId="0">
      <formula>0</formula>
    </cfRule>
  </conditionalFormatting>
  <conditionalFormatting sqref="H8">
    <cfRule type="cellIs" priority="2" operator="greaterThan" dxfId="1">
      <formula>0</formula>
    </cfRule>
  </conditionalFormatting>
  <conditionalFormatting sqref="C14:J17">
    <cfRule type="expression" priority="3" dxfId="2">
      <formula>$C14=Overview!$C$5</formula>
    </cfRule>
  </conditionalFormatting>
  <conditionalFormatting sqref="F14:F18">
    <cfRule type="cellIs" priority="4" operator="greaterThan" dxfId="3">
      <formula>0</formula>
    </cfRule>
  </conditionalFormatting>
  <conditionalFormatting sqref="G14:G18">
    <cfRule type="cellIs" priority="5" operator="greaterThan" dxfId="4">
      <formula>0</formula>
    </cfRule>
  </conditionalFormatting>
  <conditionalFormatting sqref="E14:E18">
    <cfRule type="dataBar" priority="6">
      <dataBar minLength="0" maxLength="100" showValue="1">
        <cfvo type="num" val="0"/>
        <cfvo type="num" val="1"/>
        <color rgb="0070AD47"/>
      </dataBar>
    </cfRule>
  </conditionalFormatting>
  <conditionalFormatting sqref="J14:J17">
    <cfRule type="expression" priority="7" dxfId="5">
      <formula>LEFT(J14,1)="✓"</formula>
    </cfRule>
    <cfRule type="expression" priority="8" dxfId="6">
      <formula>J14="Waiting"</formula>
    </cfRule>
  </conditionalFormatting>
  <conditionalFormatting sqref="B28:R87">
    <cfRule type="expression" priority="9" dxfId="7">
      <formula>$T28&lt;&gt;""</formula>
    </cfRule>
  </conditionalFormatting>
  <conditionalFormatting sqref="K28:N87">
    <cfRule type="expression" priority="10" dxfId="8">
      <formula>$S28=1</formula>
    </cfRule>
  </conditionalFormatting>
  <conditionalFormatting sqref="Q28:R87">
    <cfRule type="expression" priority="11" dxfId="8">
      <formula>Q28&lt;&gt;""</formula>
    </cfRule>
  </conditionalFormatting>
  <conditionalFormatting sqref="O28:O87">
    <cfRule type="cellIs" priority="12" operator="greaterThan" dxfId="9">
      <formula>0</formula>
    </cfRule>
  </conditionalFormatting>
  <conditionalFormatting sqref="P28:P87">
    <cfRule type="expression" priority="13" dxfId="10">
      <formula>LEFT(P28,1)="✓"</formula>
    </cfRule>
    <cfRule type="expression" priority="14" dxfId="11">
      <formula>P28="Reason needed"</formula>
    </cfRule>
    <cfRule type="expression" priority="15" dxfId="11">
      <formula>P28="Start date needed"</formula>
    </cfRule>
    <cfRule type="expression" priority="16" dxfId="11">
      <formula>P28="Finish date needed"</formula>
    </cfRule>
    <cfRule type="expression" priority="17" dxfId="11">
      <formula>P28="Date in the future"</formula>
    </cfRule>
    <cfRule type="expression" priority="18" dxfId="11">
      <formula>P28="Not a date"</formula>
    </cfRule>
    <cfRule type="expression" priority="19" dxfId="6">
      <formula>P28="Not changed yet"</formula>
    </cfRule>
  </conditionalFormatting>
  <dataValidations count="3">
    <dataValidation sqref="C5" showDropDown="0" showInputMessage="1" showErrorMessage="1" allowBlank="1" errorTitle="Pick from the list" error="Use the arrow to pick from the list." promptTitle="Person" prompt="Use the arrow: everyone, or one person." type="list">
      <formula1>=PersonList</formula1>
    </dataValidation>
    <dataValidation sqref="E5" showDropDown="0" showInputMessage="1" showErrorMessage="1" allowBlank="1" errorTitle="Pick from the list" error="Use the arrow to pick from the list." promptTitle="Show" prompt="Use the arrow: all activities, or only those that need attention, are not updated yet, are late or critical..." type="list">
      <formula1>=ShowList</formula1>
    </dataValidation>
    <dataValidation sqref="G5" showDropDown="0" showInputMessage="1" showErrorMessage="0" allowBlank="1" errorTitle="Pick from the list" error="Use the arrow to pick from the list." promptTitle="Find" prompt="Type part of an activity ID, name or WBS. Clear it to see everything."/>
  </dataValidation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2F5597"/>
    <outlinePr summaryBelow="1" summaryRight="1"/>
    <pageSetUpPr fitToPage="1"/>
  </sheetPr>
  <dimension ref="A1:Z29"/>
  <sheetViews>
    <sheetView showGridLines="0" zoomScale="90" workbookViewId="0">
      <pane xSplit="2" ySplit="9" topLeftCell="C10"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11" customWidth="1" min="3" max="3"/>
    <col width="11" customWidth="1" min="4" max="4"/>
    <col width="8" customWidth="1" min="5" max="5"/>
    <col width="11" customWidth="1" min="6" max="6"/>
    <col width="12" customWidth="1" min="7" max="7"/>
    <col width="12" customWidth="1" min="8" max="8"/>
    <col width="11" customWidth="1" min="9" max="9"/>
    <col width="12" customWidth="1" min="10" max="10"/>
    <col width="18" customWidth="1" min="11" max="11"/>
    <col width="42" customWidth="1" min="12" max="12"/>
    <col width="10" customWidth="1" min="13" max="13"/>
    <col width="9" customWidth="1" min="14" max="14"/>
    <col width="19" customWidth="1" min="15" max="15"/>
    <col hidden="1" width="4" customWidth="1" min="16" max="16"/>
    <col hidden="1" width="4" customWidth="1" min="17" max="17"/>
    <col hidden="1" width="4" customWidth="1" min="18" max="18"/>
    <col hidden="1" width="4" customWidth="1" min="19" max="19"/>
    <col hidden="1" width="4" customWidth="1" min="20" max="20"/>
    <col hidden="1" width="4" customWidth="1" min="21" max="21"/>
    <col hidden="1" width="4" customWidth="1" min="22" max="22"/>
    <col hidden="1" width="4" customWidth="1" min="23" max="23"/>
    <col hidden="1" width="4" customWidth="1" min="24" max="24"/>
    <col hidden="1" width="4" customWidth="1" min="25" max="25"/>
    <col hidden="1" width="4" customWidth="1" min="26" max="26"/>
  </cols>
  <sheetData>
    <row r="1" ht="32" customHeight="1">
      <c r="A1" s="1" t="inlineStr">
        <is>
          <t>Programme update  ·  Dan Lowe - Design Lead</t>
        </is>
      </c>
      <c r="B1" s="3" t="n"/>
      <c r="C1" s="3" t="n"/>
      <c r="D1" s="3" t="n"/>
      <c r="E1" s="3" t="n"/>
      <c r="F1" s="3" t="n"/>
      <c r="G1" s="3" t="n"/>
      <c r="H1" s="3" t="n"/>
      <c r="I1" s="3" t="n"/>
      <c r="J1" s="3" t="n"/>
      <c r="K1" s="3" t="n"/>
      <c r="L1" s="3" t="n"/>
      <c r="M1" s="3" t="n"/>
      <c r="N1" s="3" t="n"/>
      <c r="O1" s="3" t="n"/>
    </row>
    <row r="2" ht="22" customHeight="1">
      <c r="A2" s="4" t="inlineStr">
        <is>
          <t>SAMPLE-FITOUT   ·   data date 30 Jun 2024   ·   Whole programme</t>
        </is>
      </c>
      <c r="B2" s="3" t="n"/>
      <c r="C2" s="3" t="n"/>
      <c r="D2" s="3" t="n"/>
      <c r="E2" s="3" t="n"/>
      <c r="F2" s="3" t="n"/>
      <c r="G2" s="3" t="n"/>
      <c r="H2" s="3" t="n"/>
      <c r="I2" s="3" t="n"/>
      <c r="J2" s="3" t="n"/>
      <c r="K2" s="3" t="n"/>
      <c r="L2" s="3" t="n"/>
      <c r="M2" s="3" t="n"/>
      <c r="N2" s="3" t="n"/>
      <c r="O2" s="3" t="n"/>
    </row>
    <row r="3" ht="20" customHeight="1">
      <c r="A3" s="6" t="str">
        <f>IF(INFO("RECALC")="Automatic","","If these figures are struck through, or do not follow what is typed, Excel is calculating manually: press F9 to update them, or turn it on for good with Formulas › Calculation Options › Automatic.")</f>
        <v>If these figures are struck through, or do not follow what is typed, Excel is calculating manually: press F9 to update them, or turn it on for good with Formulas › Calculation Options › Automatic.</v>
      </c>
    </row>
    <row r="4" ht="20" customHeight="1">
      <c r="A4" s="59" t="inlineStr">
        <is>
          <t>1   Type in the white columns only; grey is the programme, locked. Type dates like 14 Oct 2026.
2   Actual start / finish: dates that have happened - type over the programme's. Not finished yet? Leave Actual finish empty and give an Expected finish.
3   Finishing late? Give a delay cause or a note. Check says what is still needed.</t>
        </is>
      </c>
      <c r="B4" s="60" t="n"/>
      <c r="C4" s="11" t="inlineStr">
        <is>
          <t>ACTIVITIES</t>
        </is>
      </c>
      <c r="D4" s="12" t="n"/>
      <c r="E4" s="61" t="inlineStr">
        <is>
          <t>UPDATED</t>
        </is>
      </c>
      <c r="F4" s="12" t="n"/>
      <c r="G4" s="14" t="inlineStr">
        <is>
          <t>NEED SOMETHING FROM YOU</t>
        </is>
      </c>
      <c r="H4" s="16" t="n"/>
      <c r="I4" s="12" t="n"/>
      <c r="J4" s="15" t="inlineStr">
        <is>
          <t>FINISHING LATE</t>
        </is>
      </c>
      <c r="K4" s="12" t="n"/>
      <c r="L4" s="62" t="inlineStr">
        <is>
          <t>Grey: the programme</t>
        </is>
      </c>
      <c r="M4" s="63" t="str">
        <f>HYPERLINK("#Overview!C5","‹ Overview")</f>
        <v>‹ Overview</v>
      </c>
    </row>
    <row r="5" ht="30" customHeight="1">
      <c r="A5" s="60" t="n"/>
      <c r="B5" s="60" t="n"/>
      <c r="C5" s="20">
        <f>COUNTA($P$10:$P$29)</f>
        <v>19</v>
      </c>
      <c r="D5" s="21" t="n"/>
      <c r="E5" s="64">
        <f>SUM($X$10:$X$29)</f>
        <v>0</v>
      </c>
      <c r="F5" s="21" t="n"/>
      <c r="G5" s="23">
        <f>COUNTIF($O$10:$O$29,"Reason needed")+COUNTIF($O$10:$O$29,"Start date needed")+COUNTIF($O$10:$O$29,"Finish date needed")+COUNTIF($O$10:$O$29,"Date in the future")</f>
        <v>0</v>
      </c>
      <c r="H5" s="25" t="n"/>
      <c r="I5" s="21" t="n"/>
      <c r="J5" s="24">
        <f>COUNTIFS($N$10:$N$29,"&gt;0",$H$10:$H$29,"")</f>
        <v>0</v>
      </c>
      <c r="K5" s="21" t="n"/>
      <c r="L5" s="65" t="inlineStr">
        <is>
          <t>White: your update</t>
        </is>
      </c>
      <c r="M5" s="66" t="inlineStr">
        <is>
          <t>Red in Check: still needed</t>
        </is>
      </c>
    </row>
    <row r="6" ht="20" customHeight="1">
      <c r="A6" s="60" t="n"/>
      <c r="B6" s="60" t="n"/>
      <c r="C6" s="29" t="str">
        <f>"in this update"</f>
        <v>in this update</v>
      </c>
      <c r="D6" s="30" t="n"/>
      <c r="E6" s="67" t="str">
        <f>IFERROR(TEXT(SUM($X$10:$X$29)/COUNTA($P$10:$P$29),"0%"),"0%")&amp;" done"</f>
        <v>0% done</v>
      </c>
      <c r="F6" s="30" t="n"/>
      <c r="G6" s="32" t="str">
        <f>"red in the Check column"</f>
        <v>red in the Check column</v>
      </c>
      <c r="H6" s="34" t="n"/>
      <c r="I6" s="30" t="n"/>
      <c r="J6" s="33" t="str">
        <f>"not finished, past the planned finish"</f>
        <v>not finished, past the planned finish</v>
      </c>
      <c r="K6" s="30" t="n"/>
      <c r="L6" s="68" t="inlineStr">
        <is>
          <t>Green: you changed it</t>
        </is>
      </c>
      <c r="M6" s="69" t="inlineStr">
        <is>
          <t>Bold red ID: critical</t>
        </is>
      </c>
    </row>
    <row r="8">
      <c r="A8" s="70" t="inlineStr">
        <is>
          <t>THE PROGRAMME  (locked)</t>
        </is>
      </c>
      <c r="B8" s="71" t="n"/>
      <c r="C8" s="71" t="n"/>
      <c r="D8" s="71" t="n"/>
      <c r="E8" s="71" t="n"/>
      <c r="F8" s="71" t="n"/>
      <c r="G8" s="72" t="inlineStr">
        <is>
          <t>YOUR UPDATE</t>
        </is>
      </c>
      <c r="H8" s="73" t="n"/>
      <c r="I8" s="73" t="n"/>
      <c r="J8" s="73" t="n"/>
      <c r="K8" s="73" t="n"/>
      <c r="L8" s="73" t="n"/>
      <c r="M8" s="74" t="inlineStr">
        <is>
          <t>CHECK</t>
        </is>
      </c>
      <c r="N8" s="3" t="n"/>
      <c r="O8" s="3" t="n"/>
    </row>
    <row r="9" ht="34" customHeight="1">
      <c r="A9" s="75" t="inlineStr">
        <is>
          <t>Activity ID</t>
        </is>
      </c>
      <c r="B9" s="76" t="inlineStr">
        <is>
          <t>Activity name</t>
        </is>
      </c>
      <c r="C9" s="75" t="inlineStr">
        <is>
          <t>Start</t>
        </is>
      </c>
      <c r="D9" s="75" t="inlineStr">
        <is>
          <t>Finish</t>
        </is>
      </c>
      <c r="E9" s="75" t="inlineStr">
        <is>
          <t>Float (d)</t>
        </is>
      </c>
      <c r="F9" s="75" t="inlineStr">
        <is>
          <t>Physical % complete</t>
        </is>
      </c>
      <c r="G9" s="51" t="inlineStr">
        <is>
          <t>Actual start</t>
        </is>
      </c>
      <c r="H9" s="51" t="inlineStr">
        <is>
          <t>Actual finish</t>
        </is>
      </c>
      <c r="I9" s="51" t="inlineStr">
        <is>
          <t>Actual % complete</t>
        </is>
      </c>
      <c r="J9" s="51" t="inlineStr">
        <is>
          <t>Expected finish</t>
        </is>
      </c>
      <c r="K9" s="51" t="inlineStr">
        <is>
          <t>Delay cause</t>
        </is>
      </c>
      <c r="L9" s="77" t="inlineStr">
        <is>
          <t>Notes</t>
        </is>
      </c>
      <c r="M9" s="41" t="inlineStr">
        <is>
          <t>Finish moves (d)</t>
        </is>
      </c>
      <c r="N9" s="41" t="inlineStr">
        <is>
          <t>Days late</t>
        </is>
      </c>
      <c r="O9" s="41" t="inlineStr">
        <is>
          <t>Check</t>
        </is>
      </c>
      <c r="P9" s="41" t="inlineStr">
        <is>
          <t>Status</t>
        </is>
      </c>
      <c r="Q9" s="41" t="inlineStr">
        <is>
          <t>Critical</t>
        </is>
      </c>
      <c r="R9" s="41" t="inlineStr">
        <is>
          <t>Planned start</t>
        </is>
      </c>
      <c r="S9" s="41" t="inlineStr">
        <is>
          <t>Compare finish</t>
        </is>
      </c>
      <c r="T9" s="41" t="inlineStr">
        <is>
          <t>was actual start</t>
        </is>
      </c>
      <c r="U9" s="41" t="inlineStr">
        <is>
          <t>was actual finish</t>
        </is>
      </c>
      <c r="V9" s="41" t="inlineStr">
        <is>
          <t>was actual %</t>
        </is>
      </c>
      <c r="W9" s="41" t="inlineStr">
        <is>
          <t>was expected finish</t>
        </is>
      </c>
      <c r="X9" s="41" t="inlineStr">
        <is>
          <t>changed</t>
        </is>
      </c>
      <c r="Y9" s="41" t="inlineStr">
        <is>
          <t>WBS level</t>
        </is>
      </c>
      <c r="Z9" s="41" t="inlineStr">
        <is>
          <t>Planned finish</t>
        </is>
      </c>
    </row>
    <row r="10" ht="18" customHeight="1">
      <c r="A10" s="78" t="inlineStr">
        <is>
          <t>ENG  Engineering</t>
        </is>
      </c>
      <c r="B10" s="79" t="n"/>
      <c r="C10" s="79" t="n"/>
      <c r="D10" s="79" t="n"/>
      <c r="E10" s="79" t="n"/>
      <c r="F10" s="79" t="n"/>
      <c r="G10" s="79" t="n"/>
      <c r="H10" s="79" t="n"/>
      <c r="I10" s="79" t="n"/>
      <c r="J10" s="79" t="n"/>
      <c r="K10" s="79" t="n"/>
      <c r="L10" s="79" t="n"/>
      <c r="M10" s="79" t="n"/>
      <c r="N10" s="79" t="n"/>
      <c r="O10" s="79" t="n"/>
      <c r="Y10" t="n">
        <v>1</v>
      </c>
    </row>
    <row r="11">
      <c r="A11" s="80" t="inlineStr">
        <is>
          <t>A1010</t>
        </is>
      </c>
      <c r="B11" s="80" t="inlineStr">
        <is>
          <t>Design package 01</t>
        </is>
      </c>
      <c r="C11" s="81" t="n">
        <v>45296</v>
      </c>
      <c r="D11" s="81" t="n">
        <v>45307</v>
      </c>
      <c r="E11" s="82" t="n">
        <v>0</v>
      </c>
      <c r="F11" s="83" t="n">
        <v>100</v>
      </c>
      <c r="G11" s="84" t="n">
        <v>45296</v>
      </c>
      <c r="H11" s="84" t="n">
        <v>45307</v>
      </c>
      <c r="I11" s="85" t="n"/>
      <c r="J11" s="84" t="n"/>
      <c r="K11" s="86" t="n"/>
      <c r="L11" s="87" t="n"/>
      <c r="M11" s="88">
        <f>IFERROR(IF(OR(D11="",IF(H11&lt;&gt;"",H11,IF(J11&lt;&gt;"",J11,D11))=""),"",IF(H11&lt;&gt;"",H11,IF(J11&lt;&gt;"",J11,D11))-D11),"")</f>
        <v>0</v>
      </c>
      <c r="N11" s="89">
        <f>IFERROR(IF(OR(S11="",IF(H11&lt;&gt;"",H11,IF(J11&lt;&gt;"",J11,D11))=""),"",MAX(0,IF(H11&lt;&gt;"",H11,IF(J11&lt;&gt;"",J11,D11))-S11)),"")</f>
        <v>0</v>
      </c>
      <c r="O11" s="90" t="str">
        <f>IF(OR(AND(G11&lt;&gt;"",NOT(ISNUMBER(G11))),AND(H11&lt;&gt;"",NOT(ISNUMBER(H11))),AND(J11&lt;&gt;"",NOT(ISNUMBER(J11)))),"Not a date",IF(OR(AND(G11&lt;&gt;"",N(G11)&gt;TODAY()),AND(H11&lt;&gt;"",N(H11)&gt;TODAY())),"Date in the future",IF(H11&lt;&gt;"",IF(G11="","Start date needed","✓ Complete"),IF(AND(IF(H11&lt;&gt;"",H11,IF(J11&lt;&gt;"",J11,D11))&lt;&gt;"",S11&lt;&gt;"",IF(H11&lt;&gt;"",H11,IF(J11&lt;&gt;"",J11,D11))&gt;S11,K11="",L11=""),"Reason needed",IF(AND(G11="",OR(N(I11)&gt;0,AND(C11&lt;&gt;"",C11&lt;DATE(2024,6,30),X11=0))),"Start date needed",IF(AND(IF(H11&lt;&gt;"",H11,IF(J11&lt;&gt;"",J11,D11))&lt;&gt;"",IF(H11&lt;&gt;"",H11,IF(J11&lt;&gt;"",J11,D11))&lt;DATE(2024,6,30)),"Finish date needed",IF(X11=1,"✓ Updated","Not changed yet")))))))</f>
        <v>✓ Complete</v>
      </c>
      <c r="P11" t="inlineStr">
        <is>
          <t>Completed</t>
        </is>
      </c>
      <c r="Q11" t="inlineStr"/>
      <c r="R11" s="91" t="n">
        <v>45296</v>
      </c>
      <c r="S11" s="91" t="n">
        <v>45307</v>
      </c>
      <c r="T11" s="91" t="n">
        <v>45296</v>
      </c>
      <c r="U11" s="91" t="n">
        <v>45307</v>
      </c>
      <c r="V11" s="92" t="n"/>
      <c r="W11" s="91" t="n"/>
      <c r="X11">
        <f>IF(OR(G11&lt;&gt;T11,H11&lt;&gt;U11,I11&lt;&gt;V11,J11&lt;&gt;W11,K11&lt;&gt;"",L11&lt;&gt;""),1,0)</f>
        <v>0</v>
      </c>
      <c r="Z11" s="91" t="n">
        <v>45307</v>
      </c>
    </row>
    <row r="12">
      <c r="A12" s="80" t="inlineStr">
        <is>
          <t>A1020</t>
        </is>
      </c>
      <c r="B12" s="80" t="inlineStr">
        <is>
          <t>Design package 02</t>
        </is>
      </c>
      <c r="C12" s="81" t="n">
        <v>45301</v>
      </c>
      <c r="D12" s="81" t="n">
        <v>45304</v>
      </c>
      <c r="E12" s="82" t="n">
        <v>0</v>
      </c>
      <c r="F12" s="83" t="n">
        <v>100</v>
      </c>
      <c r="G12" s="84" t="n">
        <v>45301</v>
      </c>
      <c r="H12" s="84" t="n">
        <v>45304</v>
      </c>
      <c r="I12" s="85" t="n"/>
      <c r="J12" s="84" t="n"/>
      <c r="K12" s="86" t="n"/>
      <c r="L12" s="87" t="n"/>
      <c r="M12" s="88">
        <f>IFERROR(IF(OR(D12="",IF(H12&lt;&gt;"",H12,IF(J12&lt;&gt;"",J12,D12))=""),"",IF(H12&lt;&gt;"",H12,IF(J12&lt;&gt;"",J12,D12))-D12),"")</f>
        <v>0</v>
      </c>
      <c r="N12" s="89">
        <f>IFERROR(IF(OR(S12="",IF(H12&lt;&gt;"",H12,IF(J12&lt;&gt;"",J12,D12))=""),"",MAX(0,IF(H12&lt;&gt;"",H12,IF(J12&lt;&gt;"",J12,D12))-S12)),"")</f>
        <v>0</v>
      </c>
      <c r="O12" s="90" t="str">
        <f>IF(OR(AND(G12&lt;&gt;"",NOT(ISNUMBER(G12))),AND(H12&lt;&gt;"",NOT(ISNUMBER(H12))),AND(J12&lt;&gt;"",NOT(ISNUMBER(J12)))),"Not a date",IF(OR(AND(G12&lt;&gt;"",N(G12)&gt;TODAY()),AND(H12&lt;&gt;"",N(H12)&gt;TODAY())),"Date in the future",IF(H12&lt;&gt;"",IF(G12="","Start date needed","✓ Complete"),IF(AND(IF(H12&lt;&gt;"",H12,IF(J12&lt;&gt;"",J12,D12))&lt;&gt;"",S12&lt;&gt;"",IF(H12&lt;&gt;"",H12,IF(J12&lt;&gt;"",J12,D12))&gt;S12,K12="",L12=""),"Reason needed",IF(AND(G12="",OR(N(I12)&gt;0,AND(C12&lt;&gt;"",C12&lt;DATE(2024,6,30),X12=0))),"Start date needed",IF(AND(IF(H12&lt;&gt;"",H12,IF(J12&lt;&gt;"",J12,D12))&lt;&gt;"",IF(H12&lt;&gt;"",H12,IF(J12&lt;&gt;"",J12,D12))&lt;DATE(2024,6,30)),"Finish date needed",IF(X12=1,"✓ Updated","Not changed yet")))))))</f>
        <v>✓ Complete</v>
      </c>
      <c r="P12" t="inlineStr">
        <is>
          <t>Completed</t>
        </is>
      </c>
      <c r="Q12" t="inlineStr"/>
      <c r="R12" s="91" t="n">
        <v>45301</v>
      </c>
      <c r="S12" s="91" t="n">
        <v>45304</v>
      </c>
      <c r="T12" s="91" t="n">
        <v>45301</v>
      </c>
      <c r="U12" s="91" t="n">
        <v>45304</v>
      </c>
      <c r="V12" s="92" t="n"/>
      <c r="W12" s="91" t="n"/>
      <c r="X12">
        <f>IF(OR(G12&lt;&gt;T12,H12&lt;&gt;U12,I12&lt;&gt;V12,J12&lt;&gt;W12,K12&lt;&gt;"",L12&lt;&gt;""),1,0)</f>
        <v>0</v>
      </c>
      <c r="Z12" s="91" t="n">
        <v>45304</v>
      </c>
    </row>
    <row r="13">
      <c r="A13" s="80" t="inlineStr">
        <is>
          <t>A1030</t>
        </is>
      </c>
      <c r="B13" s="80" t="inlineStr">
        <is>
          <t>Design package 03</t>
        </is>
      </c>
      <c r="C13" s="81" t="n">
        <v>45302</v>
      </c>
      <c r="D13" s="81" t="n">
        <v>45309</v>
      </c>
      <c r="E13" s="82" t="n">
        <v>0</v>
      </c>
      <c r="F13" s="83" t="n">
        <v>100</v>
      </c>
      <c r="G13" s="84" t="n">
        <v>45302</v>
      </c>
      <c r="H13" s="84" t="n">
        <v>45309</v>
      </c>
      <c r="I13" s="85" t="n"/>
      <c r="J13" s="84" t="n"/>
      <c r="K13" s="86" t="n"/>
      <c r="L13" s="87" t="n"/>
      <c r="M13" s="88">
        <f>IFERROR(IF(OR(D13="",IF(H13&lt;&gt;"",H13,IF(J13&lt;&gt;"",J13,D13))=""),"",IF(H13&lt;&gt;"",H13,IF(J13&lt;&gt;"",J13,D13))-D13),"")</f>
        <v>0</v>
      </c>
      <c r="N13" s="89">
        <f>IFERROR(IF(OR(S13="",IF(H13&lt;&gt;"",H13,IF(J13&lt;&gt;"",J13,D13))=""),"",MAX(0,IF(H13&lt;&gt;"",H13,IF(J13&lt;&gt;"",J13,D13))-S13)),"")</f>
        <v>0</v>
      </c>
      <c r="O13" s="90" t="str">
        <f>IF(OR(AND(G13&lt;&gt;"",NOT(ISNUMBER(G13))),AND(H13&lt;&gt;"",NOT(ISNUMBER(H13))),AND(J13&lt;&gt;"",NOT(ISNUMBER(J13)))),"Not a date",IF(OR(AND(G13&lt;&gt;"",N(G13)&gt;TODAY()),AND(H13&lt;&gt;"",N(H13)&gt;TODAY())),"Date in the future",IF(H13&lt;&gt;"",IF(G13="","Start date needed","✓ Complete"),IF(AND(IF(H13&lt;&gt;"",H13,IF(J13&lt;&gt;"",J13,D13))&lt;&gt;"",S13&lt;&gt;"",IF(H13&lt;&gt;"",H13,IF(J13&lt;&gt;"",J13,D13))&gt;S13,K13="",L13=""),"Reason needed",IF(AND(G13="",OR(N(I13)&gt;0,AND(C13&lt;&gt;"",C13&lt;DATE(2024,6,30),X13=0))),"Start date needed",IF(AND(IF(H13&lt;&gt;"",H13,IF(J13&lt;&gt;"",J13,D13))&lt;&gt;"",IF(H13&lt;&gt;"",H13,IF(J13&lt;&gt;"",J13,D13))&lt;DATE(2024,6,30)),"Finish date needed",IF(X13=1,"✓ Updated","Not changed yet")))))))</f>
        <v>✓ Complete</v>
      </c>
      <c r="P13" t="inlineStr">
        <is>
          <t>Completed</t>
        </is>
      </c>
      <c r="Q13" t="inlineStr"/>
      <c r="R13" s="91" t="n">
        <v>45302</v>
      </c>
      <c r="S13" s="91" t="n">
        <v>45309</v>
      </c>
      <c r="T13" s="91" t="n">
        <v>45302</v>
      </c>
      <c r="U13" s="91" t="n">
        <v>45309</v>
      </c>
      <c r="V13" s="92" t="n"/>
      <c r="W13" s="91" t="n"/>
      <c r="X13">
        <f>IF(OR(G13&lt;&gt;T13,H13&lt;&gt;U13,I13&lt;&gt;V13,J13&lt;&gt;W13,K13&lt;&gt;"",L13&lt;&gt;""),1,0)</f>
        <v>0</v>
      </c>
      <c r="Z13" s="91" t="n">
        <v>45309</v>
      </c>
    </row>
    <row r="14">
      <c r="A14" s="80" t="inlineStr">
        <is>
          <t>A1040</t>
        </is>
      </c>
      <c r="B14" s="80" t="inlineStr">
        <is>
          <t>Design package 04</t>
        </is>
      </c>
      <c r="C14" s="81" t="n">
        <v>45305</v>
      </c>
      <c r="D14" s="81" t="n">
        <v>45319</v>
      </c>
      <c r="E14" s="82" t="n">
        <v>1</v>
      </c>
      <c r="F14" s="83" t="n">
        <v>100</v>
      </c>
      <c r="G14" s="84" t="n">
        <v>45305</v>
      </c>
      <c r="H14" s="84" t="n">
        <v>45319</v>
      </c>
      <c r="I14" s="85" t="n"/>
      <c r="J14" s="84" t="n"/>
      <c r="K14" s="86" t="n"/>
      <c r="L14" s="87" t="n"/>
      <c r="M14" s="88">
        <f>IFERROR(IF(OR(D14="",IF(H14&lt;&gt;"",H14,IF(J14&lt;&gt;"",J14,D14))=""),"",IF(H14&lt;&gt;"",H14,IF(J14&lt;&gt;"",J14,D14))-D14),"")</f>
        <v>0</v>
      </c>
      <c r="N14" s="89">
        <f>IFERROR(IF(OR(S14="",IF(H14&lt;&gt;"",H14,IF(J14&lt;&gt;"",J14,D14))=""),"",MAX(0,IF(H14&lt;&gt;"",H14,IF(J14&lt;&gt;"",J14,D14))-S14)),"")</f>
        <v>0</v>
      </c>
      <c r="O14" s="90" t="str">
        <f>IF(OR(AND(G14&lt;&gt;"",NOT(ISNUMBER(G14))),AND(H14&lt;&gt;"",NOT(ISNUMBER(H14))),AND(J14&lt;&gt;"",NOT(ISNUMBER(J14)))),"Not a date",IF(OR(AND(G14&lt;&gt;"",N(G14)&gt;TODAY()),AND(H14&lt;&gt;"",N(H14)&gt;TODAY())),"Date in the future",IF(H14&lt;&gt;"",IF(G14="","Start date needed","✓ Complete"),IF(AND(IF(H14&lt;&gt;"",H14,IF(J14&lt;&gt;"",J14,D14))&lt;&gt;"",S14&lt;&gt;"",IF(H14&lt;&gt;"",H14,IF(J14&lt;&gt;"",J14,D14))&gt;S14,K14="",L14=""),"Reason needed",IF(AND(G14="",OR(N(I14)&gt;0,AND(C14&lt;&gt;"",C14&lt;DATE(2024,6,30),X14=0))),"Start date needed",IF(AND(IF(H14&lt;&gt;"",H14,IF(J14&lt;&gt;"",J14,D14))&lt;&gt;"",IF(H14&lt;&gt;"",H14,IF(J14&lt;&gt;"",J14,D14))&lt;DATE(2024,6,30)),"Finish date needed",IF(X14=1,"✓ Updated","Not changed yet")))))))</f>
        <v>✓ Complete</v>
      </c>
      <c r="P14" t="inlineStr">
        <is>
          <t>Completed</t>
        </is>
      </c>
      <c r="Q14" t="inlineStr"/>
      <c r="R14" s="91" t="n">
        <v>45305</v>
      </c>
      <c r="S14" s="91" t="n">
        <v>45319</v>
      </c>
      <c r="T14" s="91" t="n">
        <v>45305</v>
      </c>
      <c r="U14" s="91" t="n">
        <v>45319</v>
      </c>
      <c r="V14" s="92" t="n"/>
      <c r="W14" s="91" t="n"/>
      <c r="X14">
        <f>IF(OR(G14&lt;&gt;T14,H14&lt;&gt;U14,I14&lt;&gt;V14,J14&lt;&gt;W14,K14&lt;&gt;"",L14&lt;&gt;""),1,0)</f>
        <v>0</v>
      </c>
      <c r="Z14" s="91" t="n">
        <v>45319</v>
      </c>
    </row>
    <row r="15">
      <c r="A15" s="80" t="inlineStr">
        <is>
          <t>A1050</t>
        </is>
      </c>
      <c r="B15" s="80" t="inlineStr">
        <is>
          <t>Design package 05</t>
        </is>
      </c>
      <c r="C15" s="81" t="n">
        <v>45312</v>
      </c>
      <c r="D15" s="81" t="n">
        <v>45315</v>
      </c>
      <c r="E15" s="82" t="n">
        <v>0</v>
      </c>
      <c r="F15" s="83" t="n">
        <v>100</v>
      </c>
      <c r="G15" s="84" t="n">
        <v>45312</v>
      </c>
      <c r="H15" s="84" t="n">
        <v>45315</v>
      </c>
      <c r="I15" s="85" t="n"/>
      <c r="J15" s="84" t="n"/>
      <c r="K15" s="86" t="n"/>
      <c r="L15" s="87" t="n"/>
      <c r="M15" s="88">
        <f>IFERROR(IF(OR(D15="",IF(H15&lt;&gt;"",H15,IF(J15&lt;&gt;"",J15,D15))=""),"",IF(H15&lt;&gt;"",H15,IF(J15&lt;&gt;"",J15,D15))-D15),"")</f>
        <v>0</v>
      </c>
      <c r="N15" s="89">
        <f>IFERROR(IF(OR(S15="",IF(H15&lt;&gt;"",H15,IF(J15&lt;&gt;"",J15,D15))=""),"",MAX(0,IF(H15&lt;&gt;"",H15,IF(J15&lt;&gt;"",J15,D15))-S15)),"")</f>
        <v>0</v>
      </c>
      <c r="O15" s="90" t="str">
        <f>IF(OR(AND(G15&lt;&gt;"",NOT(ISNUMBER(G15))),AND(H15&lt;&gt;"",NOT(ISNUMBER(H15))),AND(J15&lt;&gt;"",NOT(ISNUMBER(J15)))),"Not a date",IF(OR(AND(G15&lt;&gt;"",N(G15)&gt;TODAY()),AND(H15&lt;&gt;"",N(H15)&gt;TODAY())),"Date in the future",IF(H15&lt;&gt;"",IF(G15="","Start date needed","✓ Complete"),IF(AND(IF(H15&lt;&gt;"",H15,IF(J15&lt;&gt;"",J15,D15))&lt;&gt;"",S15&lt;&gt;"",IF(H15&lt;&gt;"",H15,IF(J15&lt;&gt;"",J15,D15))&gt;S15,K15="",L15=""),"Reason needed",IF(AND(G15="",OR(N(I15)&gt;0,AND(C15&lt;&gt;"",C15&lt;DATE(2024,6,30),X15=0))),"Start date needed",IF(AND(IF(H15&lt;&gt;"",H15,IF(J15&lt;&gt;"",J15,D15))&lt;&gt;"",IF(H15&lt;&gt;"",H15,IF(J15&lt;&gt;"",J15,D15))&lt;DATE(2024,6,30)),"Finish date needed",IF(X15=1,"✓ Updated","Not changed yet")))))))</f>
        <v>✓ Complete</v>
      </c>
      <c r="P15" t="inlineStr">
        <is>
          <t>Completed</t>
        </is>
      </c>
      <c r="Q15" t="inlineStr"/>
      <c r="R15" s="91" t="n">
        <v>45312</v>
      </c>
      <c r="S15" s="91" t="n">
        <v>45315</v>
      </c>
      <c r="T15" s="91" t="n">
        <v>45312</v>
      </c>
      <c r="U15" s="91" t="n">
        <v>45315</v>
      </c>
      <c r="V15" s="92" t="n"/>
      <c r="W15" s="91" t="n"/>
      <c r="X15">
        <f>IF(OR(G15&lt;&gt;T15,H15&lt;&gt;U15,I15&lt;&gt;V15,J15&lt;&gt;W15,K15&lt;&gt;"",L15&lt;&gt;""),1,0)</f>
        <v>0</v>
      </c>
      <c r="Z15" s="91" t="n">
        <v>45315</v>
      </c>
    </row>
    <row r="16">
      <c r="A16" s="80" t="inlineStr">
        <is>
          <t>A1060</t>
        </is>
      </c>
      <c r="B16" s="80" t="inlineStr">
        <is>
          <t>Design package 06</t>
        </is>
      </c>
      <c r="C16" s="81" t="n">
        <v>45313</v>
      </c>
      <c r="D16" s="81" t="n">
        <v>45324</v>
      </c>
      <c r="E16" s="82" t="n">
        <v>50</v>
      </c>
      <c r="F16" s="83" t="n">
        <v>100</v>
      </c>
      <c r="G16" s="84" t="n">
        <v>45313</v>
      </c>
      <c r="H16" s="84" t="n">
        <v>45324</v>
      </c>
      <c r="I16" s="85" t="n"/>
      <c r="J16" s="84" t="n"/>
      <c r="K16" s="86" t="n"/>
      <c r="L16" s="87" t="n"/>
      <c r="M16" s="88">
        <f>IFERROR(IF(OR(D16="",IF(H16&lt;&gt;"",H16,IF(J16&lt;&gt;"",J16,D16))=""),"",IF(H16&lt;&gt;"",H16,IF(J16&lt;&gt;"",J16,D16))-D16),"")</f>
        <v>0</v>
      </c>
      <c r="N16" s="89">
        <f>IFERROR(IF(OR(S16="",IF(H16&lt;&gt;"",H16,IF(J16&lt;&gt;"",J16,D16))=""),"",MAX(0,IF(H16&lt;&gt;"",H16,IF(J16&lt;&gt;"",J16,D16))-S16)),"")</f>
        <v>0</v>
      </c>
      <c r="O16" s="90" t="str">
        <f>IF(OR(AND(G16&lt;&gt;"",NOT(ISNUMBER(G16))),AND(H16&lt;&gt;"",NOT(ISNUMBER(H16))),AND(J16&lt;&gt;"",NOT(ISNUMBER(J16)))),"Not a date",IF(OR(AND(G16&lt;&gt;"",N(G16)&gt;TODAY()),AND(H16&lt;&gt;"",N(H16)&gt;TODAY())),"Date in the future",IF(H16&lt;&gt;"",IF(G16="","Start date needed","✓ Complete"),IF(AND(IF(H16&lt;&gt;"",H16,IF(J16&lt;&gt;"",J16,D16))&lt;&gt;"",S16&lt;&gt;"",IF(H16&lt;&gt;"",H16,IF(J16&lt;&gt;"",J16,D16))&gt;S16,K16="",L16=""),"Reason needed",IF(AND(G16="",OR(N(I16)&gt;0,AND(C16&lt;&gt;"",C16&lt;DATE(2024,6,30),X16=0))),"Start date needed",IF(AND(IF(H16&lt;&gt;"",H16,IF(J16&lt;&gt;"",J16,D16))&lt;&gt;"",IF(H16&lt;&gt;"",H16,IF(J16&lt;&gt;"",J16,D16))&lt;DATE(2024,6,30)),"Finish date needed",IF(X16=1,"✓ Updated","Not changed yet")))))))</f>
        <v>✓ Complete</v>
      </c>
      <c r="P16" t="inlineStr">
        <is>
          <t>Completed</t>
        </is>
      </c>
      <c r="Q16" t="inlineStr"/>
      <c r="R16" s="91" t="n">
        <v>45313</v>
      </c>
      <c r="S16" s="91" t="n">
        <v>45324</v>
      </c>
      <c r="T16" s="91" t="n">
        <v>45313</v>
      </c>
      <c r="U16" s="91" t="n">
        <v>45324</v>
      </c>
      <c r="V16" s="92" t="n"/>
      <c r="W16" s="91" t="n"/>
      <c r="X16">
        <f>IF(OR(G16&lt;&gt;T16,H16&lt;&gt;U16,I16&lt;&gt;V16,J16&lt;&gt;W16,K16&lt;&gt;"",L16&lt;&gt;""),1,0)</f>
        <v>0</v>
      </c>
      <c r="Z16" s="91" t="n">
        <v>45324</v>
      </c>
    </row>
    <row r="17">
      <c r="A17" s="80" t="inlineStr">
        <is>
          <t>A1070</t>
        </is>
      </c>
      <c r="B17" s="80" t="inlineStr">
        <is>
          <t>Design package 07</t>
        </is>
      </c>
      <c r="C17" s="81" t="n">
        <v>45318</v>
      </c>
      <c r="D17" s="81" t="n">
        <v>45321</v>
      </c>
      <c r="E17" s="82" t="n">
        <v>1</v>
      </c>
      <c r="F17" s="83" t="n">
        <v>100</v>
      </c>
      <c r="G17" s="84" t="n">
        <v>45318</v>
      </c>
      <c r="H17" s="84" t="n">
        <v>45321</v>
      </c>
      <c r="I17" s="85" t="n"/>
      <c r="J17" s="84" t="n"/>
      <c r="K17" s="86" t="n"/>
      <c r="L17" s="87" t="n"/>
      <c r="M17" s="88">
        <f>IFERROR(IF(OR(D17="",IF(H17&lt;&gt;"",H17,IF(J17&lt;&gt;"",J17,D17))=""),"",IF(H17&lt;&gt;"",H17,IF(J17&lt;&gt;"",J17,D17))-D17),"")</f>
        <v>0</v>
      </c>
      <c r="N17" s="89">
        <f>IFERROR(IF(OR(S17="",IF(H17&lt;&gt;"",H17,IF(J17&lt;&gt;"",J17,D17))=""),"",MAX(0,IF(H17&lt;&gt;"",H17,IF(J17&lt;&gt;"",J17,D17))-S17)),"")</f>
        <v>0</v>
      </c>
      <c r="O17" s="90" t="str">
        <f>IF(OR(AND(G17&lt;&gt;"",NOT(ISNUMBER(G17))),AND(H17&lt;&gt;"",NOT(ISNUMBER(H17))),AND(J17&lt;&gt;"",NOT(ISNUMBER(J17)))),"Not a date",IF(OR(AND(G17&lt;&gt;"",N(G17)&gt;TODAY()),AND(H17&lt;&gt;"",N(H17)&gt;TODAY())),"Date in the future",IF(H17&lt;&gt;"",IF(G17="","Start date needed","✓ Complete"),IF(AND(IF(H17&lt;&gt;"",H17,IF(J17&lt;&gt;"",J17,D17))&lt;&gt;"",S17&lt;&gt;"",IF(H17&lt;&gt;"",H17,IF(J17&lt;&gt;"",J17,D17))&gt;S17,K17="",L17=""),"Reason needed",IF(AND(G17="",OR(N(I17)&gt;0,AND(C17&lt;&gt;"",C17&lt;DATE(2024,6,30),X17=0))),"Start date needed",IF(AND(IF(H17&lt;&gt;"",H17,IF(J17&lt;&gt;"",J17,D17))&lt;&gt;"",IF(H17&lt;&gt;"",H17,IF(J17&lt;&gt;"",J17,D17))&lt;DATE(2024,6,30)),"Finish date needed",IF(X17=1,"✓ Updated","Not changed yet")))))))</f>
        <v>✓ Complete</v>
      </c>
      <c r="P17" t="inlineStr">
        <is>
          <t>Completed</t>
        </is>
      </c>
      <c r="Q17" t="inlineStr"/>
      <c r="R17" s="91" t="n">
        <v>45318</v>
      </c>
      <c r="S17" s="91" t="n">
        <v>45321</v>
      </c>
      <c r="T17" s="91" t="n">
        <v>45318</v>
      </c>
      <c r="U17" s="91" t="n">
        <v>45321</v>
      </c>
      <c r="V17" s="92" t="n"/>
      <c r="W17" s="91" t="n"/>
      <c r="X17">
        <f>IF(OR(G17&lt;&gt;T17,H17&lt;&gt;U17,I17&lt;&gt;V17,J17&lt;&gt;W17,K17&lt;&gt;"",L17&lt;&gt;""),1,0)</f>
        <v>0</v>
      </c>
      <c r="Z17" s="91" t="n">
        <v>45321</v>
      </c>
    </row>
    <row r="18">
      <c r="A18" s="80" t="inlineStr">
        <is>
          <t>A1080</t>
        </is>
      </c>
      <c r="B18" s="80" t="inlineStr">
        <is>
          <t>Design package 08</t>
        </is>
      </c>
      <c r="C18" s="81" t="n">
        <v>45319</v>
      </c>
      <c r="D18" s="81" t="n">
        <v>45322</v>
      </c>
      <c r="E18" s="82" t="n">
        <v>50</v>
      </c>
      <c r="F18" s="83" t="n">
        <v>100</v>
      </c>
      <c r="G18" s="84" t="n">
        <v>45319</v>
      </c>
      <c r="H18" s="84" t="n">
        <v>45322</v>
      </c>
      <c r="I18" s="85" t="n"/>
      <c r="J18" s="84" t="n"/>
      <c r="K18" s="86" t="n"/>
      <c r="L18" s="87" t="n"/>
      <c r="M18" s="88">
        <f>IFERROR(IF(OR(D18="",IF(H18&lt;&gt;"",H18,IF(J18&lt;&gt;"",J18,D18))=""),"",IF(H18&lt;&gt;"",H18,IF(J18&lt;&gt;"",J18,D18))-D18),"")</f>
        <v>0</v>
      </c>
      <c r="N18" s="89">
        <f>IFERROR(IF(OR(S18="",IF(H18&lt;&gt;"",H18,IF(J18&lt;&gt;"",J18,D18))=""),"",MAX(0,IF(H18&lt;&gt;"",H18,IF(J18&lt;&gt;"",J18,D18))-S18)),"")</f>
        <v>0</v>
      </c>
      <c r="O18" s="90" t="str">
        <f>IF(OR(AND(G18&lt;&gt;"",NOT(ISNUMBER(G18))),AND(H18&lt;&gt;"",NOT(ISNUMBER(H18))),AND(J18&lt;&gt;"",NOT(ISNUMBER(J18)))),"Not a date",IF(OR(AND(G18&lt;&gt;"",N(G18)&gt;TODAY()),AND(H18&lt;&gt;"",N(H18)&gt;TODAY())),"Date in the future",IF(H18&lt;&gt;"",IF(G18="","Start date needed","✓ Complete"),IF(AND(IF(H18&lt;&gt;"",H18,IF(J18&lt;&gt;"",J18,D18))&lt;&gt;"",S18&lt;&gt;"",IF(H18&lt;&gt;"",H18,IF(J18&lt;&gt;"",J18,D18))&gt;S18,K18="",L18=""),"Reason needed",IF(AND(G18="",OR(N(I18)&gt;0,AND(C18&lt;&gt;"",C18&lt;DATE(2024,6,30),X18=0))),"Start date needed",IF(AND(IF(H18&lt;&gt;"",H18,IF(J18&lt;&gt;"",J18,D18))&lt;&gt;"",IF(H18&lt;&gt;"",H18,IF(J18&lt;&gt;"",J18,D18))&lt;DATE(2024,6,30)),"Finish date needed",IF(X18=1,"✓ Updated","Not changed yet")))))))</f>
        <v>✓ Complete</v>
      </c>
      <c r="P18" t="inlineStr">
        <is>
          <t>Completed</t>
        </is>
      </c>
      <c r="Q18" t="inlineStr"/>
      <c r="R18" s="91" t="n">
        <v>45319</v>
      </c>
      <c r="S18" s="91" t="n">
        <v>45322</v>
      </c>
      <c r="T18" s="91" t="n">
        <v>45319</v>
      </c>
      <c r="U18" s="91" t="n">
        <v>45322</v>
      </c>
      <c r="V18" s="92" t="n"/>
      <c r="W18" s="91" t="n"/>
      <c r="X18">
        <f>IF(OR(G18&lt;&gt;T18,H18&lt;&gt;U18,I18&lt;&gt;V18,J18&lt;&gt;W18,K18&lt;&gt;"",L18&lt;&gt;""),1,0)</f>
        <v>0</v>
      </c>
      <c r="Z18" s="91" t="n">
        <v>45322</v>
      </c>
    </row>
    <row r="19">
      <c r="A19" s="80" t="inlineStr">
        <is>
          <t>A1090</t>
        </is>
      </c>
      <c r="B19" s="80" t="inlineStr">
        <is>
          <t>Design package 09</t>
        </is>
      </c>
      <c r="C19" s="81" t="n">
        <v>45320</v>
      </c>
      <c r="D19" s="81" t="n">
        <v>45323</v>
      </c>
      <c r="E19" s="82" t="n">
        <v>0</v>
      </c>
      <c r="F19" s="83" t="n">
        <v>100</v>
      </c>
      <c r="G19" s="84" t="n">
        <v>45320</v>
      </c>
      <c r="H19" s="84" t="n">
        <v>45323</v>
      </c>
      <c r="I19" s="85" t="n"/>
      <c r="J19" s="84" t="n"/>
      <c r="K19" s="86" t="n"/>
      <c r="L19" s="87" t="n"/>
      <c r="M19" s="88">
        <f>IFERROR(IF(OR(D19="",IF(H19&lt;&gt;"",H19,IF(J19&lt;&gt;"",J19,D19))=""),"",IF(H19&lt;&gt;"",H19,IF(J19&lt;&gt;"",J19,D19))-D19),"")</f>
        <v>0</v>
      </c>
      <c r="N19" s="89">
        <f>IFERROR(IF(OR(S19="",IF(H19&lt;&gt;"",H19,IF(J19&lt;&gt;"",J19,D19))=""),"",MAX(0,IF(H19&lt;&gt;"",H19,IF(J19&lt;&gt;"",J19,D19))-S19)),"")</f>
        <v>0</v>
      </c>
      <c r="O19" s="90" t="str">
        <f>IF(OR(AND(G19&lt;&gt;"",NOT(ISNUMBER(G19))),AND(H19&lt;&gt;"",NOT(ISNUMBER(H19))),AND(J19&lt;&gt;"",NOT(ISNUMBER(J19)))),"Not a date",IF(OR(AND(G19&lt;&gt;"",N(G19)&gt;TODAY()),AND(H19&lt;&gt;"",N(H19)&gt;TODAY())),"Date in the future",IF(H19&lt;&gt;"",IF(G19="","Start date needed","✓ Complete"),IF(AND(IF(H19&lt;&gt;"",H19,IF(J19&lt;&gt;"",J19,D19))&lt;&gt;"",S19&lt;&gt;"",IF(H19&lt;&gt;"",H19,IF(J19&lt;&gt;"",J19,D19))&gt;S19,K19="",L19=""),"Reason needed",IF(AND(G19="",OR(N(I19)&gt;0,AND(C19&lt;&gt;"",C19&lt;DATE(2024,6,30),X19=0))),"Start date needed",IF(AND(IF(H19&lt;&gt;"",H19,IF(J19&lt;&gt;"",J19,D19))&lt;&gt;"",IF(H19&lt;&gt;"",H19,IF(J19&lt;&gt;"",J19,D19))&lt;DATE(2024,6,30)),"Finish date needed",IF(X19=1,"✓ Updated","Not changed yet")))))))</f>
        <v>✓ Complete</v>
      </c>
      <c r="P19" t="inlineStr">
        <is>
          <t>Completed</t>
        </is>
      </c>
      <c r="Q19" t="inlineStr"/>
      <c r="R19" s="91" t="n">
        <v>45320</v>
      </c>
      <c r="S19" s="91" t="n">
        <v>45323</v>
      </c>
      <c r="T19" s="91" t="n">
        <v>45320</v>
      </c>
      <c r="U19" s="91" t="n">
        <v>45323</v>
      </c>
      <c r="V19" s="92" t="n"/>
      <c r="W19" s="91" t="n"/>
      <c r="X19">
        <f>IF(OR(G19&lt;&gt;T19,H19&lt;&gt;U19,I19&lt;&gt;V19,J19&lt;&gt;W19,K19&lt;&gt;"",L19&lt;&gt;""),1,0)</f>
        <v>0</v>
      </c>
      <c r="Z19" s="91" t="n">
        <v>45323</v>
      </c>
    </row>
    <row r="20">
      <c r="A20" s="80" t="inlineStr">
        <is>
          <t>A1100</t>
        </is>
      </c>
      <c r="B20" s="80" t="inlineStr">
        <is>
          <t>Design package 10</t>
        </is>
      </c>
      <c r="C20" s="81" t="n">
        <v>45321</v>
      </c>
      <c r="D20" s="81" t="n">
        <v>45325</v>
      </c>
      <c r="E20" s="82" t="n">
        <v>0</v>
      </c>
      <c r="F20" s="83" t="n">
        <v>100</v>
      </c>
      <c r="G20" s="84" t="n">
        <v>45321</v>
      </c>
      <c r="H20" s="84" t="n">
        <v>45325</v>
      </c>
      <c r="I20" s="85" t="n"/>
      <c r="J20" s="84" t="n"/>
      <c r="K20" s="86" t="n"/>
      <c r="L20" s="87" t="n"/>
      <c r="M20" s="88">
        <f>IFERROR(IF(OR(D20="",IF(H20&lt;&gt;"",H20,IF(J20&lt;&gt;"",J20,D20))=""),"",IF(H20&lt;&gt;"",H20,IF(J20&lt;&gt;"",J20,D20))-D20),"")</f>
        <v>0</v>
      </c>
      <c r="N20" s="89">
        <f>IFERROR(IF(OR(S20="",IF(H20&lt;&gt;"",H20,IF(J20&lt;&gt;"",J20,D20))=""),"",MAX(0,IF(H20&lt;&gt;"",H20,IF(J20&lt;&gt;"",J20,D20))-S20)),"")</f>
        <v>0</v>
      </c>
      <c r="O20" s="90" t="str">
        <f>IF(OR(AND(G20&lt;&gt;"",NOT(ISNUMBER(G20))),AND(H20&lt;&gt;"",NOT(ISNUMBER(H20))),AND(J20&lt;&gt;"",NOT(ISNUMBER(J20)))),"Not a date",IF(OR(AND(G20&lt;&gt;"",N(G20)&gt;TODAY()),AND(H20&lt;&gt;"",N(H20)&gt;TODAY())),"Date in the future",IF(H20&lt;&gt;"",IF(G20="","Start date needed","✓ Complete"),IF(AND(IF(H20&lt;&gt;"",H20,IF(J20&lt;&gt;"",J20,D20))&lt;&gt;"",S20&lt;&gt;"",IF(H20&lt;&gt;"",H20,IF(J20&lt;&gt;"",J20,D20))&gt;S20,K20="",L20=""),"Reason needed",IF(AND(G20="",OR(N(I20)&gt;0,AND(C20&lt;&gt;"",C20&lt;DATE(2024,6,30),X20=0))),"Start date needed",IF(AND(IF(H20&lt;&gt;"",H20,IF(J20&lt;&gt;"",J20,D20))&lt;&gt;"",IF(H20&lt;&gt;"",H20,IF(J20&lt;&gt;"",J20,D20))&lt;DATE(2024,6,30)),"Finish date needed",IF(X20=1,"✓ Updated","Not changed yet")))))))</f>
        <v>✓ Complete</v>
      </c>
      <c r="P20" t="inlineStr">
        <is>
          <t>Completed</t>
        </is>
      </c>
      <c r="Q20" t="inlineStr"/>
      <c r="R20" s="91" t="n">
        <v>45321</v>
      </c>
      <c r="S20" s="91" t="n">
        <v>45325</v>
      </c>
      <c r="T20" s="91" t="n">
        <v>45321</v>
      </c>
      <c r="U20" s="91" t="n">
        <v>45325</v>
      </c>
      <c r="V20" s="92" t="n"/>
      <c r="W20" s="91" t="n"/>
      <c r="X20">
        <f>IF(OR(G20&lt;&gt;T20,H20&lt;&gt;U20,I20&lt;&gt;V20,J20&lt;&gt;W20,K20&lt;&gt;"",L20&lt;&gt;""),1,0)</f>
        <v>0</v>
      </c>
      <c r="Z20" s="91" t="n">
        <v>45325</v>
      </c>
    </row>
    <row r="21">
      <c r="A21" s="80" t="inlineStr">
        <is>
          <t>A1110</t>
        </is>
      </c>
      <c r="B21" s="80" t="inlineStr">
        <is>
          <t>Design package 11</t>
        </is>
      </c>
      <c r="C21" s="81" t="n">
        <v>45323</v>
      </c>
      <c r="D21" s="81" t="n">
        <v>45337</v>
      </c>
      <c r="E21" s="82" t="n">
        <v>50</v>
      </c>
      <c r="F21" s="83" t="n">
        <v>100</v>
      </c>
      <c r="G21" s="84" t="n">
        <v>45323</v>
      </c>
      <c r="H21" s="84" t="n">
        <v>45337</v>
      </c>
      <c r="I21" s="85" t="n"/>
      <c r="J21" s="84" t="n"/>
      <c r="K21" s="86" t="n"/>
      <c r="L21" s="87" t="n"/>
      <c r="M21" s="88">
        <f>IFERROR(IF(OR(D21="",IF(H21&lt;&gt;"",H21,IF(J21&lt;&gt;"",J21,D21))=""),"",IF(H21&lt;&gt;"",H21,IF(J21&lt;&gt;"",J21,D21))-D21),"")</f>
        <v>0</v>
      </c>
      <c r="N21" s="89">
        <f>IFERROR(IF(OR(S21="",IF(H21&lt;&gt;"",H21,IF(J21&lt;&gt;"",J21,D21))=""),"",MAX(0,IF(H21&lt;&gt;"",H21,IF(J21&lt;&gt;"",J21,D21))-S21)),"")</f>
        <v>0</v>
      </c>
      <c r="O21" s="90" t="str">
        <f>IF(OR(AND(G21&lt;&gt;"",NOT(ISNUMBER(G21))),AND(H21&lt;&gt;"",NOT(ISNUMBER(H21))),AND(J21&lt;&gt;"",NOT(ISNUMBER(J21)))),"Not a date",IF(OR(AND(G21&lt;&gt;"",N(G21)&gt;TODAY()),AND(H21&lt;&gt;"",N(H21)&gt;TODAY())),"Date in the future",IF(H21&lt;&gt;"",IF(G21="","Start date needed","✓ Complete"),IF(AND(IF(H21&lt;&gt;"",H21,IF(J21&lt;&gt;"",J21,D21))&lt;&gt;"",S21&lt;&gt;"",IF(H21&lt;&gt;"",H21,IF(J21&lt;&gt;"",J21,D21))&gt;S21,K21="",L21=""),"Reason needed",IF(AND(G21="",OR(N(I21)&gt;0,AND(C21&lt;&gt;"",C21&lt;DATE(2024,6,30),X21=0))),"Start date needed",IF(AND(IF(H21&lt;&gt;"",H21,IF(J21&lt;&gt;"",J21,D21))&lt;&gt;"",IF(H21&lt;&gt;"",H21,IF(J21&lt;&gt;"",J21,D21))&lt;DATE(2024,6,30)),"Finish date needed",IF(X21=1,"✓ Updated","Not changed yet")))))))</f>
        <v>✓ Complete</v>
      </c>
      <c r="P21" t="inlineStr">
        <is>
          <t>Completed</t>
        </is>
      </c>
      <c r="Q21" t="inlineStr"/>
      <c r="R21" s="91" t="n">
        <v>45323</v>
      </c>
      <c r="S21" s="91" t="n">
        <v>45337</v>
      </c>
      <c r="T21" s="91" t="n">
        <v>45323</v>
      </c>
      <c r="U21" s="91" t="n">
        <v>45337</v>
      </c>
      <c r="V21" s="92" t="n"/>
      <c r="W21" s="91" t="n"/>
      <c r="X21">
        <f>IF(OR(G21&lt;&gt;T21,H21&lt;&gt;U21,I21&lt;&gt;V21,J21&lt;&gt;W21,K21&lt;&gt;"",L21&lt;&gt;""),1,0)</f>
        <v>0</v>
      </c>
      <c r="Z21" s="91" t="n">
        <v>45337</v>
      </c>
    </row>
    <row r="22">
      <c r="A22" s="80" t="inlineStr">
        <is>
          <t>A1120</t>
        </is>
      </c>
      <c r="B22" s="80" t="inlineStr">
        <is>
          <t>Design package 12</t>
        </is>
      </c>
      <c r="C22" s="81" t="n">
        <v>45330</v>
      </c>
      <c r="D22" s="81" t="n">
        <v>45333</v>
      </c>
      <c r="E22" s="82" t="n">
        <v>1</v>
      </c>
      <c r="F22" s="83" t="n">
        <v>100</v>
      </c>
      <c r="G22" s="84" t="n">
        <v>45330</v>
      </c>
      <c r="H22" s="84" t="n">
        <v>45333</v>
      </c>
      <c r="I22" s="85" t="n"/>
      <c r="J22" s="84" t="n"/>
      <c r="K22" s="86" t="n"/>
      <c r="L22" s="87" t="n"/>
      <c r="M22" s="88">
        <f>IFERROR(IF(OR(D22="",IF(H22&lt;&gt;"",H22,IF(J22&lt;&gt;"",J22,D22))=""),"",IF(H22&lt;&gt;"",H22,IF(J22&lt;&gt;"",J22,D22))-D22),"")</f>
        <v>0</v>
      </c>
      <c r="N22" s="89">
        <f>IFERROR(IF(OR(S22="",IF(H22&lt;&gt;"",H22,IF(J22&lt;&gt;"",J22,D22))=""),"",MAX(0,IF(H22&lt;&gt;"",H22,IF(J22&lt;&gt;"",J22,D22))-S22)),"")</f>
        <v>0</v>
      </c>
      <c r="O22" s="90" t="str">
        <f>IF(OR(AND(G22&lt;&gt;"",NOT(ISNUMBER(G22))),AND(H22&lt;&gt;"",NOT(ISNUMBER(H22))),AND(J22&lt;&gt;"",NOT(ISNUMBER(J22)))),"Not a date",IF(OR(AND(G22&lt;&gt;"",N(G22)&gt;TODAY()),AND(H22&lt;&gt;"",N(H22)&gt;TODAY())),"Date in the future",IF(H22&lt;&gt;"",IF(G22="","Start date needed","✓ Complete"),IF(AND(IF(H22&lt;&gt;"",H22,IF(J22&lt;&gt;"",J22,D22))&lt;&gt;"",S22&lt;&gt;"",IF(H22&lt;&gt;"",H22,IF(J22&lt;&gt;"",J22,D22))&gt;S22,K22="",L22=""),"Reason needed",IF(AND(G22="",OR(N(I22)&gt;0,AND(C22&lt;&gt;"",C22&lt;DATE(2024,6,30),X22=0))),"Start date needed",IF(AND(IF(H22&lt;&gt;"",H22,IF(J22&lt;&gt;"",J22,D22))&lt;&gt;"",IF(H22&lt;&gt;"",H22,IF(J22&lt;&gt;"",J22,D22))&lt;DATE(2024,6,30)),"Finish date needed",IF(X22=1,"✓ Updated","Not changed yet")))))))</f>
        <v>✓ Complete</v>
      </c>
      <c r="P22" t="inlineStr">
        <is>
          <t>Completed</t>
        </is>
      </c>
      <c r="Q22" t="inlineStr"/>
      <c r="R22" s="91" t="n">
        <v>45330</v>
      </c>
      <c r="S22" s="91" t="n">
        <v>45333</v>
      </c>
      <c r="T22" s="91" t="n">
        <v>45330</v>
      </c>
      <c r="U22" s="91" t="n">
        <v>45333</v>
      </c>
      <c r="V22" s="92" t="n"/>
      <c r="W22" s="91" t="n"/>
      <c r="X22">
        <f>IF(OR(G22&lt;&gt;T22,H22&lt;&gt;U22,I22&lt;&gt;V22,J22&lt;&gt;W22,K22&lt;&gt;"",L22&lt;&gt;""),1,0)</f>
        <v>0</v>
      </c>
      <c r="Z22" s="91" t="n">
        <v>45333</v>
      </c>
    </row>
    <row r="23">
      <c r="A23" s="80" t="inlineStr">
        <is>
          <t>A1130</t>
        </is>
      </c>
      <c r="B23" s="80" t="inlineStr">
        <is>
          <t>Design package 13</t>
        </is>
      </c>
      <c r="C23" s="81" t="n">
        <v>45331</v>
      </c>
      <c r="D23" s="81" t="n">
        <v>45334</v>
      </c>
      <c r="E23" s="82" t="n">
        <v>0</v>
      </c>
      <c r="F23" s="83" t="n">
        <v>100</v>
      </c>
      <c r="G23" s="84" t="n">
        <v>45331</v>
      </c>
      <c r="H23" s="84" t="n">
        <v>45334</v>
      </c>
      <c r="I23" s="85" t="n"/>
      <c r="J23" s="84" t="n"/>
      <c r="K23" s="86" t="n"/>
      <c r="L23" s="87" t="n"/>
      <c r="M23" s="88">
        <f>IFERROR(IF(OR(D23="",IF(H23&lt;&gt;"",H23,IF(J23&lt;&gt;"",J23,D23))=""),"",IF(H23&lt;&gt;"",H23,IF(J23&lt;&gt;"",J23,D23))-D23),"")</f>
        <v>0</v>
      </c>
      <c r="N23" s="89">
        <f>IFERROR(IF(OR(S23="",IF(H23&lt;&gt;"",H23,IF(J23&lt;&gt;"",J23,D23))=""),"",MAX(0,IF(H23&lt;&gt;"",H23,IF(J23&lt;&gt;"",J23,D23))-S23)),"")</f>
        <v>0</v>
      </c>
      <c r="O23" s="90" t="str">
        <f>IF(OR(AND(G23&lt;&gt;"",NOT(ISNUMBER(G23))),AND(H23&lt;&gt;"",NOT(ISNUMBER(H23))),AND(J23&lt;&gt;"",NOT(ISNUMBER(J23)))),"Not a date",IF(OR(AND(G23&lt;&gt;"",N(G23)&gt;TODAY()),AND(H23&lt;&gt;"",N(H23)&gt;TODAY())),"Date in the future",IF(H23&lt;&gt;"",IF(G23="","Start date needed","✓ Complete"),IF(AND(IF(H23&lt;&gt;"",H23,IF(J23&lt;&gt;"",J23,D23))&lt;&gt;"",S23&lt;&gt;"",IF(H23&lt;&gt;"",H23,IF(J23&lt;&gt;"",J23,D23))&gt;S23,K23="",L23=""),"Reason needed",IF(AND(G23="",OR(N(I23)&gt;0,AND(C23&lt;&gt;"",C23&lt;DATE(2024,6,30),X23=0))),"Start date needed",IF(AND(IF(H23&lt;&gt;"",H23,IF(J23&lt;&gt;"",J23,D23))&lt;&gt;"",IF(H23&lt;&gt;"",H23,IF(J23&lt;&gt;"",J23,D23))&lt;DATE(2024,6,30)),"Finish date needed",IF(X23=1,"✓ Updated","Not changed yet")))))))</f>
        <v>✓ Complete</v>
      </c>
      <c r="P23" t="inlineStr">
        <is>
          <t>Completed</t>
        </is>
      </c>
      <c r="Q23" t="inlineStr"/>
      <c r="R23" s="91" t="n">
        <v>45331</v>
      </c>
      <c r="S23" s="91" t="n">
        <v>45334</v>
      </c>
      <c r="T23" s="91" t="n">
        <v>45331</v>
      </c>
      <c r="U23" s="91" t="n">
        <v>45334</v>
      </c>
      <c r="V23" s="92" t="n"/>
      <c r="W23" s="91" t="n"/>
      <c r="X23">
        <f>IF(OR(G23&lt;&gt;T23,H23&lt;&gt;U23,I23&lt;&gt;V23,J23&lt;&gt;W23,K23&lt;&gt;"",L23&lt;&gt;""),1,0)</f>
        <v>0</v>
      </c>
      <c r="Z23" s="91" t="n">
        <v>45334</v>
      </c>
    </row>
    <row r="24">
      <c r="A24" s="80" t="inlineStr">
        <is>
          <t>A1140</t>
        </is>
      </c>
      <c r="B24" s="80" t="inlineStr">
        <is>
          <t>Design package 14</t>
        </is>
      </c>
      <c r="C24" s="81" t="n">
        <v>45332</v>
      </c>
      <c r="D24" s="81" t="n">
        <v>45339</v>
      </c>
      <c r="E24" s="82" t="n">
        <v>50</v>
      </c>
      <c r="F24" s="83" t="n">
        <v>100</v>
      </c>
      <c r="G24" s="84" t="n">
        <v>45332</v>
      </c>
      <c r="H24" s="84" t="n">
        <v>45339</v>
      </c>
      <c r="I24" s="85" t="n"/>
      <c r="J24" s="84" t="n"/>
      <c r="K24" s="86" t="n"/>
      <c r="L24" s="87" t="n"/>
      <c r="M24" s="88">
        <f>IFERROR(IF(OR(D24="",IF(H24&lt;&gt;"",H24,IF(J24&lt;&gt;"",J24,D24))=""),"",IF(H24&lt;&gt;"",H24,IF(J24&lt;&gt;"",J24,D24))-D24),"")</f>
        <v>0</v>
      </c>
      <c r="N24" s="89">
        <f>IFERROR(IF(OR(S24="",IF(H24&lt;&gt;"",H24,IF(J24&lt;&gt;"",J24,D24))=""),"",MAX(0,IF(H24&lt;&gt;"",H24,IF(J24&lt;&gt;"",J24,D24))-S24)),"")</f>
        <v>0</v>
      </c>
      <c r="O24" s="90" t="str">
        <f>IF(OR(AND(G24&lt;&gt;"",NOT(ISNUMBER(G24))),AND(H24&lt;&gt;"",NOT(ISNUMBER(H24))),AND(J24&lt;&gt;"",NOT(ISNUMBER(J24)))),"Not a date",IF(OR(AND(G24&lt;&gt;"",N(G24)&gt;TODAY()),AND(H24&lt;&gt;"",N(H24)&gt;TODAY())),"Date in the future",IF(H24&lt;&gt;"",IF(G24="","Start date needed","✓ Complete"),IF(AND(IF(H24&lt;&gt;"",H24,IF(J24&lt;&gt;"",J24,D24))&lt;&gt;"",S24&lt;&gt;"",IF(H24&lt;&gt;"",H24,IF(J24&lt;&gt;"",J24,D24))&gt;S24,K24="",L24=""),"Reason needed",IF(AND(G24="",OR(N(I24)&gt;0,AND(C24&lt;&gt;"",C24&lt;DATE(2024,6,30),X24=0))),"Start date needed",IF(AND(IF(H24&lt;&gt;"",H24,IF(J24&lt;&gt;"",J24,D24))&lt;&gt;"",IF(H24&lt;&gt;"",H24,IF(J24&lt;&gt;"",J24,D24))&lt;DATE(2024,6,30)),"Finish date needed",IF(X24=1,"✓ Updated","Not changed yet")))))))</f>
        <v>✓ Complete</v>
      </c>
      <c r="P24" t="inlineStr">
        <is>
          <t>Completed</t>
        </is>
      </c>
      <c r="Q24" t="inlineStr"/>
      <c r="R24" s="91" t="n">
        <v>45332</v>
      </c>
      <c r="S24" s="91" t="n">
        <v>45339</v>
      </c>
      <c r="T24" s="91" t="n">
        <v>45332</v>
      </c>
      <c r="U24" s="91" t="n">
        <v>45339</v>
      </c>
      <c r="V24" s="92" t="n"/>
      <c r="W24" s="91" t="n"/>
      <c r="X24">
        <f>IF(OR(G24&lt;&gt;T24,H24&lt;&gt;U24,I24&lt;&gt;V24,J24&lt;&gt;W24,K24&lt;&gt;"",L24&lt;&gt;""),1,0)</f>
        <v>0</v>
      </c>
      <c r="Z24" s="91" t="n">
        <v>45339</v>
      </c>
    </row>
    <row r="25">
      <c r="A25" s="80" t="inlineStr">
        <is>
          <t>A1150</t>
        </is>
      </c>
      <c r="B25" s="80" t="inlineStr">
        <is>
          <t>Design package 15</t>
        </is>
      </c>
      <c r="C25" s="81" t="n">
        <v>45335</v>
      </c>
      <c r="D25" s="81" t="n">
        <v>45339</v>
      </c>
      <c r="E25" s="82" t="n">
        <v>0</v>
      </c>
      <c r="F25" s="83" t="n">
        <v>100</v>
      </c>
      <c r="G25" s="84" t="n">
        <v>45335</v>
      </c>
      <c r="H25" s="84" t="n">
        <v>45339</v>
      </c>
      <c r="I25" s="85" t="n"/>
      <c r="J25" s="84" t="n"/>
      <c r="K25" s="86" t="n"/>
      <c r="L25" s="87" t="n"/>
      <c r="M25" s="88">
        <f>IFERROR(IF(OR(D25="",IF(H25&lt;&gt;"",H25,IF(J25&lt;&gt;"",J25,D25))=""),"",IF(H25&lt;&gt;"",H25,IF(J25&lt;&gt;"",J25,D25))-D25),"")</f>
        <v>0</v>
      </c>
      <c r="N25" s="89">
        <f>IFERROR(IF(OR(S25="",IF(H25&lt;&gt;"",H25,IF(J25&lt;&gt;"",J25,D25))=""),"",MAX(0,IF(H25&lt;&gt;"",H25,IF(J25&lt;&gt;"",J25,D25))-S25)),"")</f>
        <v>0</v>
      </c>
      <c r="O25" s="90" t="str">
        <f>IF(OR(AND(G25&lt;&gt;"",NOT(ISNUMBER(G25))),AND(H25&lt;&gt;"",NOT(ISNUMBER(H25))),AND(J25&lt;&gt;"",NOT(ISNUMBER(J25)))),"Not a date",IF(OR(AND(G25&lt;&gt;"",N(G25)&gt;TODAY()),AND(H25&lt;&gt;"",N(H25)&gt;TODAY())),"Date in the future",IF(H25&lt;&gt;"",IF(G25="","Start date needed","✓ Complete"),IF(AND(IF(H25&lt;&gt;"",H25,IF(J25&lt;&gt;"",J25,D25))&lt;&gt;"",S25&lt;&gt;"",IF(H25&lt;&gt;"",H25,IF(J25&lt;&gt;"",J25,D25))&gt;S25,K25="",L25=""),"Reason needed",IF(AND(G25="",OR(N(I25)&gt;0,AND(C25&lt;&gt;"",C25&lt;DATE(2024,6,30),X25=0))),"Start date needed",IF(AND(IF(H25&lt;&gt;"",H25,IF(J25&lt;&gt;"",J25,D25))&lt;&gt;"",IF(H25&lt;&gt;"",H25,IF(J25&lt;&gt;"",J25,D25))&lt;DATE(2024,6,30)),"Finish date needed",IF(X25=1,"✓ Updated","Not changed yet")))))))</f>
        <v>✓ Complete</v>
      </c>
      <c r="P25" t="inlineStr">
        <is>
          <t>Completed</t>
        </is>
      </c>
      <c r="Q25" t="inlineStr"/>
      <c r="R25" s="91" t="n">
        <v>45335</v>
      </c>
      <c r="S25" s="91" t="n">
        <v>45339</v>
      </c>
      <c r="T25" s="91" t="n">
        <v>45335</v>
      </c>
      <c r="U25" s="91" t="n">
        <v>45339</v>
      </c>
      <c r="V25" s="92" t="n"/>
      <c r="W25" s="91" t="n"/>
      <c r="X25">
        <f>IF(OR(G25&lt;&gt;T25,H25&lt;&gt;U25,I25&lt;&gt;V25,J25&lt;&gt;W25,K25&lt;&gt;"",L25&lt;&gt;""),1,0)</f>
        <v>0</v>
      </c>
      <c r="Z25" s="91" t="n">
        <v>45339</v>
      </c>
    </row>
    <row r="26">
      <c r="A26" s="80" t="inlineStr">
        <is>
          <t>A1160</t>
        </is>
      </c>
      <c r="B26" s="80" t="inlineStr">
        <is>
          <t>Design package 16</t>
        </is>
      </c>
      <c r="C26" s="81" t="n">
        <v>45337</v>
      </c>
      <c r="D26" s="81" t="n">
        <v>45351</v>
      </c>
      <c r="E26" s="82" t="n">
        <v>5</v>
      </c>
      <c r="F26" s="83" t="n">
        <v>100</v>
      </c>
      <c r="G26" s="84" t="n">
        <v>45337</v>
      </c>
      <c r="H26" s="84" t="n">
        <v>45351</v>
      </c>
      <c r="I26" s="85" t="n"/>
      <c r="J26" s="84" t="n"/>
      <c r="K26" s="86" t="n"/>
      <c r="L26" s="87" t="n"/>
      <c r="M26" s="88">
        <f>IFERROR(IF(OR(D26="",IF(H26&lt;&gt;"",H26,IF(J26&lt;&gt;"",J26,D26))=""),"",IF(H26&lt;&gt;"",H26,IF(J26&lt;&gt;"",J26,D26))-D26),"")</f>
        <v>0</v>
      </c>
      <c r="N26" s="89">
        <f>IFERROR(IF(OR(S26="",IF(H26&lt;&gt;"",H26,IF(J26&lt;&gt;"",J26,D26))=""),"",MAX(0,IF(H26&lt;&gt;"",H26,IF(J26&lt;&gt;"",J26,D26))-S26)),"")</f>
        <v>0</v>
      </c>
      <c r="O26" s="90" t="str">
        <f>IF(OR(AND(G26&lt;&gt;"",NOT(ISNUMBER(G26))),AND(H26&lt;&gt;"",NOT(ISNUMBER(H26))),AND(J26&lt;&gt;"",NOT(ISNUMBER(J26)))),"Not a date",IF(OR(AND(G26&lt;&gt;"",N(G26)&gt;TODAY()),AND(H26&lt;&gt;"",N(H26)&gt;TODAY())),"Date in the future",IF(H26&lt;&gt;"",IF(G26="","Start date needed","✓ Complete"),IF(AND(IF(H26&lt;&gt;"",H26,IF(J26&lt;&gt;"",J26,D26))&lt;&gt;"",S26&lt;&gt;"",IF(H26&lt;&gt;"",H26,IF(J26&lt;&gt;"",J26,D26))&gt;S26,K26="",L26=""),"Reason needed",IF(AND(G26="",OR(N(I26)&gt;0,AND(C26&lt;&gt;"",C26&lt;DATE(2024,6,30),X26=0))),"Start date needed",IF(AND(IF(H26&lt;&gt;"",H26,IF(J26&lt;&gt;"",J26,D26))&lt;&gt;"",IF(H26&lt;&gt;"",H26,IF(J26&lt;&gt;"",J26,D26))&lt;DATE(2024,6,30)),"Finish date needed",IF(X26=1,"✓ Updated","Not changed yet")))))))</f>
        <v>✓ Complete</v>
      </c>
      <c r="P26" t="inlineStr">
        <is>
          <t>Completed</t>
        </is>
      </c>
      <c r="Q26" t="inlineStr"/>
      <c r="R26" s="91" t="n">
        <v>45337</v>
      </c>
      <c r="S26" s="91" t="n">
        <v>45351</v>
      </c>
      <c r="T26" s="91" t="n">
        <v>45337</v>
      </c>
      <c r="U26" s="91" t="n">
        <v>45351</v>
      </c>
      <c r="V26" s="92" t="n"/>
      <c r="W26" s="91" t="n"/>
      <c r="X26">
        <f>IF(OR(G26&lt;&gt;T26,H26&lt;&gt;U26,I26&lt;&gt;V26,J26&lt;&gt;W26,K26&lt;&gt;"",L26&lt;&gt;""),1,0)</f>
        <v>0</v>
      </c>
      <c r="Z26" s="91" t="n">
        <v>45351</v>
      </c>
    </row>
    <row r="27">
      <c r="A27" s="80" t="inlineStr">
        <is>
          <t>A1170</t>
        </is>
      </c>
      <c r="B27" s="80" t="inlineStr">
        <is>
          <t>Design package 17</t>
        </is>
      </c>
      <c r="C27" s="81" t="n">
        <v>45344</v>
      </c>
      <c r="D27" s="81" t="n">
        <v>45358</v>
      </c>
      <c r="E27" s="82" t="n">
        <v>0</v>
      </c>
      <c r="F27" s="83" t="n">
        <v>100</v>
      </c>
      <c r="G27" s="84" t="n">
        <v>45344</v>
      </c>
      <c r="H27" s="84" t="n">
        <v>45358</v>
      </c>
      <c r="I27" s="85" t="n"/>
      <c r="J27" s="84" t="n"/>
      <c r="K27" s="86" t="n"/>
      <c r="L27" s="87" t="n"/>
      <c r="M27" s="88">
        <f>IFERROR(IF(OR(D27="",IF(H27&lt;&gt;"",H27,IF(J27&lt;&gt;"",J27,D27))=""),"",IF(H27&lt;&gt;"",H27,IF(J27&lt;&gt;"",J27,D27))-D27),"")</f>
        <v>0</v>
      </c>
      <c r="N27" s="89">
        <f>IFERROR(IF(OR(S27="",IF(H27&lt;&gt;"",H27,IF(J27&lt;&gt;"",J27,D27))=""),"",MAX(0,IF(H27&lt;&gt;"",H27,IF(J27&lt;&gt;"",J27,D27))-S27)),"")</f>
        <v>0</v>
      </c>
      <c r="O27" s="90" t="str">
        <f>IF(OR(AND(G27&lt;&gt;"",NOT(ISNUMBER(G27))),AND(H27&lt;&gt;"",NOT(ISNUMBER(H27))),AND(J27&lt;&gt;"",NOT(ISNUMBER(J27)))),"Not a date",IF(OR(AND(G27&lt;&gt;"",N(G27)&gt;TODAY()),AND(H27&lt;&gt;"",N(H27)&gt;TODAY())),"Date in the future",IF(H27&lt;&gt;"",IF(G27="","Start date needed","✓ Complete"),IF(AND(IF(H27&lt;&gt;"",H27,IF(J27&lt;&gt;"",J27,D27))&lt;&gt;"",S27&lt;&gt;"",IF(H27&lt;&gt;"",H27,IF(J27&lt;&gt;"",J27,D27))&gt;S27,K27="",L27=""),"Reason needed",IF(AND(G27="",OR(N(I27)&gt;0,AND(C27&lt;&gt;"",C27&lt;DATE(2024,6,30),X27=0))),"Start date needed",IF(AND(IF(H27&lt;&gt;"",H27,IF(J27&lt;&gt;"",J27,D27))&lt;&gt;"",IF(H27&lt;&gt;"",H27,IF(J27&lt;&gt;"",J27,D27))&lt;DATE(2024,6,30)),"Finish date needed",IF(X27=1,"✓ Updated","Not changed yet")))))))</f>
        <v>✓ Complete</v>
      </c>
      <c r="P27" t="inlineStr">
        <is>
          <t>Completed</t>
        </is>
      </c>
      <c r="Q27" t="inlineStr"/>
      <c r="R27" s="91" t="n">
        <v>45344</v>
      </c>
      <c r="S27" s="91" t="n">
        <v>45358</v>
      </c>
      <c r="T27" s="91" t="n">
        <v>45344</v>
      </c>
      <c r="U27" s="91" t="n">
        <v>45358</v>
      </c>
      <c r="V27" s="92" t="n"/>
      <c r="W27" s="91" t="n"/>
      <c r="X27">
        <f>IF(OR(G27&lt;&gt;T27,H27&lt;&gt;U27,I27&lt;&gt;V27,J27&lt;&gt;W27,K27&lt;&gt;"",L27&lt;&gt;""),1,0)</f>
        <v>0</v>
      </c>
      <c r="Z27" s="91" t="n">
        <v>45358</v>
      </c>
    </row>
    <row r="28">
      <c r="A28" s="80" t="inlineStr">
        <is>
          <t>A1180</t>
        </is>
      </c>
      <c r="B28" s="80" t="inlineStr">
        <is>
          <t>Design package 18</t>
        </is>
      </c>
      <c r="C28" s="81" t="n">
        <v>45351</v>
      </c>
      <c r="D28" s="81" t="n">
        <v>45354</v>
      </c>
      <c r="E28" s="82" t="n">
        <v>1</v>
      </c>
      <c r="F28" s="83" t="n">
        <v>100</v>
      </c>
      <c r="G28" s="84" t="n">
        <v>45351</v>
      </c>
      <c r="H28" s="84" t="n">
        <v>45354</v>
      </c>
      <c r="I28" s="85" t="n"/>
      <c r="J28" s="84" t="n"/>
      <c r="K28" s="86" t="n"/>
      <c r="L28" s="87" t="n"/>
      <c r="M28" s="88">
        <f>IFERROR(IF(OR(D28="",IF(H28&lt;&gt;"",H28,IF(J28&lt;&gt;"",J28,D28))=""),"",IF(H28&lt;&gt;"",H28,IF(J28&lt;&gt;"",J28,D28))-D28),"")</f>
        <v>0</v>
      </c>
      <c r="N28" s="89">
        <f>IFERROR(IF(OR(S28="",IF(H28&lt;&gt;"",H28,IF(J28&lt;&gt;"",J28,D28))=""),"",MAX(0,IF(H28&lt;&gt;"",H28,IF(J28&lt;&gt;"",J28,D28))-S28)),"")</f>
        <v>0</v>
      </c>
      <c r="O28" s="90" t="str">
        <f>IF(OR(AND(G28&lt;&gt;"",NOT(ISNUMBER(G28))),AND(H28&lt;&gt;"",NOT(ISNUMBER(H28))),AND(J28&lt;&gt;"",NOT(ISNUMBER(J28)))),"Not a date",IF(OR(AND(G28&lt;&gt;"",N(G28)&gt;TODAY()),AND(H28&lt;&gt;"",N(H28)&gt;TODAY())),"Date in the future",IF(H28&lt;&gt;"",IF(G28="","Start date needed","✓ Complete"),IF(AND(IF(H28&lt;&gt;"",H28,IF(J28&lt;&gt;"",J28,D28))&lt;&gt;"",S28&lt;&gt;"",IF(H28&lt;&gt;"",H28,IF(J28&lt;&gt;"",J28,D28))&gt;S28,K28="",L28=""),"Reason needed",IF(AND(G28="",OR(N(I28)&gt;0,AND(C28&lt;&gt;"",C28&lt;DATE(2024,6,30),X28=0))),"Start date needed",IF(AND(IF(H28&lt;&gt;"",H28,IF(J28&lt;&gt;"",J28,D28))&lt;&gt;"",IF(H28&lt;&gt;"",H28,IF(J28&lt;&gt;"",J28,D28))&lt;DATE(2024,6,30)),"Finish date needed",IF(X28=1,"✓ Updated","Not changed yet")))))))</f>
        <v>✓ Complete</v>
      </c>
      <c r="P28" t="inlineStr">
        <is>
          <t>Completed</t>
        </is>
      </c>
      <c r="Q28" t="inlineStr"/>
      <c r="R28" s="91" t="n">
        <v>45351</v>
      </c>
      <c r="S28" s="91" t="n">
        <v>45354</v>
      </c>
      <c r="T28" s="91" t="n">
        <v>45351</v>
      </c>
      <c r="U28" s="91" t="n">
        <v>45354</v>
      </c>
      <c r="V28" s="92" t="n"/>
      <c r="W28" s="91" t="n"/>
      <c r="X28">
        <f>IF(OR(G28&lt;&gt;T28,H28&lt;&gt;U28,I28&lt;&gt;V28,J28&lt;&gt;W28,K28&lt;&gt;"",L28&lt;&gt;""),1,0)</f>
        <v>0</v>
      </c>
      <c r="Z28" s="91" t="n">
        <v>45354</v>
      </c>
    </row>
    <row r="29">
      <c r="A29" s="80" t="inlineStr">
        <is>
          <t>A1190</t>
        </is>
      </c>
      <c r="B29" s="80" t="inlineStr">
        <is>
          <t>Design package 19</t>
        </is>
      </c>
      <c r="C29" s="81" t="n">
        <v>45352</v>
      </c>
      <c r="D29" s="81" t="n">
        <v>45359</v>
      </c>
      <c r="E29" s="82" t="n">
        <v>0</v>
      </c>
      <c r="F29" s="83" t="n">
        <v>100</v>
      </c>
      <c r="G29" s="84" t="n">
        <v>45352</v>
      </c>
      <c r="H29" s="84" t="n">
        <v>45359</v>
      </c>
      <c r="I29" s="85" t="n"/>
      <c r="J29" s="84" t="n"/>
      <c r="K29" s="86" t="n"/>
      <c r="L29" s="87" t="n"/>
      <c r="M29" s="88">
        <f>IFERROR(IF(OR(D29="",IF(H29&lt;&gt;"",H29,IF(J29&lt;&gt;"",J29,D29))=""),"",IF(H29&lt;&gt;"",H29,IF(J29&lt;&gt;"",J29,D29))-D29),"")</f>
        <v>0</v>
      </c>
      <c r="N29" s="89">
        <f>IFERROR(IF(OR(S29="",IF(H29&lt;&gt;"",H29,IF(J29&lt;&gt;"",J29,D29))=""),"",MAX(0,IF(H29&lt;&gt;"",H29,IF(J29&lt;&gt;"",J29,D29))-S29)),"")</f>
        <v>0</v>
      </c>
      <c r="O29" s="90" t="str">
        <f>IF(OR(AND(G29&lt;&gt;"",NOT(ISNUMBER(G29))),AND(H29&lt;&gt;"",NOT(ISNUMBER(H29))),AND(J29&lt;&gt;"",NOT(ISNUMBER(J29)))),"Not a date",IF(OR(AND(G29&lt;&gt;"",N(G29)&gt;TODAY()),AND(H29&lt;&gt;"",N(H29)&gt;TODAY())),"Date in the future",IF(H29&lt;&gt;"",IF(G29="","Start date needed","✓ Complete"),IF(AND(IF(H29&lt;&gt;"",H29,IF(J29&lt;&gt;"",J29,D29))&lt;&gt;"",S29&lt;&gt;"",IF(H29&lt;&gt;"",H29,IF(J29&lt;&gt;"",J29,D29))&gt;S29,K29="",L29=""),"Reason needed",IF(AND(G29="",OR(N(I29)&gt;0,AND(C29&lt;&gt;"",C29&lt;DATE(2024,6,30),X29=0))),"Start date needed",IF(AND(IF(H29&lt;&gt;"",H29,IF(J29&lt;&gt;"",J29,D29))&lt;&gt;"",IF(H29&lt;&gt;"",H29,IF(J29&lt;&gt;"",J29,D29))&lt;DATE(2024,6,30)),"Finish date needed",IF(X29=1,"✓ Updated","Not changed yet")))))))</f>
        <v>✓ Complete</v>
      </c>
      <c r="P29" t="inlineStr">
        <is>
          <t>Completed</t>
        </is>
      </c>
      <c r="Q29" t="inlineStr"/>
      <c r="R29" s="91" t="n">
        <v>45352</v>
      </c>
      <c r="S29" s="91" t="n">
        <v>45359</v>
      </c>
      <c r="T29" s="91" t="n">
        <v>45352</v>
      </c>
      <c r="U29" s="91" t="n">
        <v>45359</v>
      </c>
      <c r="V29" s="92" t="n"/>
      <c r="W29" s="91" t="n"/>
      <c r="X29">
        <f>IF(OR(G29&lt;&gt;T29,H29&lt;&gt;U29,I29&lt;&gt;V29,J29&lt;&gt;W29,K29&lt;&gt;"",L29&lt;&gt;""),1,0)</f>
        <v>0</v>
      </c>
      <c r="Z29" s="91" t="n">
        <v>45359</v>
      </c>
    </row>
  </sheetData>
  <sheetProtection selectLockedCells="0" selectUnlockedCells="0" sheet="1" objects="0" insertRows="1" insertHyperlinks="1" autoFilter="0" scenarios="0" formatColumns="0" deleteColumns="1" insertColumns="1" pivotTables="1" deleteRows="1" formatCells="1" formatRows="0" sort="0"/>
  <autoFilter ref="A9:O29"/>
  <mergeCells count="20">
    <mergeCell ref="C6:D6"/>
    <mergeCell ref="G6:I6"/>
    <mergeCell ref="J5:K5"/>
    <mergeCell ref="C5:D5"/>
    <mergeCell ref="E5:F5"/>
    <mergeCell ref="M6:O6"/>
    <mergeCell ref="A3:O3"/>
    <mergeCell ref="C4:D4"/>
    <mergeCell ref="E4:F4"/>
    <mergeCell ref="G5:I5"/>
    <mergeCell ref="J6:K6"/>
    <mergeCell ref="A8:F8"/>
    <mergeCell ref="G4:I4"/>
    <mergeCell ref="M8:O8"/>
    <mergeCell ref="J4:K4"/>
    <mergeCell ref="E6:F6"/>
    <mergeCell ref="M4:O4"/>
    <mergeCell ref="M5:O5"/>
    <mergeCell ref="G8:L8"/>
    <mergeCell ref="A4:B6"/>
  </mergeCells>
  <conditionalFormatting sqref="G5">
    <cfRule type="cellIs" priority="1" operator="greaterThan" dxfId="0">
      <formula>0</formula>
    </cfRule>
  </conditionalFormatting>
  <conditionalFormatting sqref="G10:G29">
    <cfRule type="expression" priority="2" dxfId="12">
      <formula>G10&lt;&gt;T10</formula>
    </cfRule>
  </conditionalFormatting>
  <conditionalFormatting sqref="H10:H29">
    <cfRule type="expression" priority="3" dxfId="12">
      <formula>H10&lt;&gt;U10</formula>
    </cfRule>
  </conditionalFormatting>
  <conditionalFormatting sqref="I10:I29">
    <cfRule type="expression" priority="4" dxfId="12">
      <formula>I10&lt;&gt;V10</formula>
    </cfRule>
    <cfRule type="dataBar" priority="10">
      <dataBar minLength="0" maxLength="100" showValue="1">
        <cfvo type="num" val="0"/>
        <cfvo type="num" val="100"/>
        <color rgb="0070AD47"/>
      </dataBar>
    </cfRule>
  </conditionalFormatting>
  <conditionalFormatting sqref="J10:J29">
    <cfRule type="expression" priority="5" dxfId="12">
      <formula>J10&lt;&gt;W10</formula>
    </cfRule>
  </conditionalFormatting>
  <conditionalFormatting sqref="K10:L29">
    <cfRule type="expression" priority="6" dxfId="8">
      <formula>K10&lt;&gt;""</formula>
    </cfRule>
  </conditionalFormatting>
  <conditionalFormatting sqref="A10:A29">
    <cfRule type="expression" priority="7" dxfId="3">
      <formula>$Q10="Yes"</formula>
    </cfRule>
  </conditionalFormatting>
  <conditionalFormatting sqref="E10:E29">
    <cfRule type="cellIs" priority="8" operator="lessThan" dxfId="13">
      <formula>0</formula>
    </cfRule>
  </conditionalFormatting>
  <conditionalFormatting sqref="F10:F29">
    <cfRule type="dataBar" priority="9">
      <dataBar minLength="0" maxLength="100" showValue="1">
        <cfvo type="num" val="0"/>
        <cfvo type="num" val="100"/>
        <color rgb="00A9C4EB"/>
      </dataBar>
    </cfRule>
  </conditionalFormatting>
  <conditionalFormatting sqref="M10:M29">
    <cfRule type="cellIs" priority="11" operator="greaterThan" dxfId="9">
      <formula>0</formula>
    </cfRule>
    <cfRule type="cellIs" priority="12" operator="lessThan" dxfId="5">
      <formula>0</formula>
    </cfRule>
  </conditionalFormatting>
  <conditionalFormatting sqref="N10:N29">
    <cfRule type="cellIs" priority="13" operator="greaterThan" dxfId="9">
      <formula>0</formula>
    </cfRule>
  </conditionalFormatting>
  <conditionalFormatting sqref="O10:O29">
    <cfRule type="expression" priority="14" dxfId="10">
      <formula>LEFT(O10,1)="✓"</formula>
    </cfRule>
    <cfRule type="expression" priority="15" dxfId="11">
      <formula>O10="Reason needed"</formula>
    </cfRule>
    <cfRule type="expression" priority="16" dxfId="11">
      <formula>O10="Start date needed"</formula>
    </cfRule>
    <cfRule type="expression" priority="17" dxfId="11">
      <formula>O10="Finish date needed"</formula>
    </cfRule>
    <cfRule type="expression" priority="18" dxfId="11">
      <formula>O10="Date in the future"</formula>
    </cfRule>
    <cfRule type="expression" priority="19" dxfId="11">
      <formula>O10="Not a date"</formula>
    </cfRule>
    <cfRule type="expression" priority="20" dxfId="6">
      <formula>O10="Not changed yet"</formula>
    </cfRule>
  </conditionalFormatting>
  <dataValidations count="6">
    <dataValidation sqref="G10:G29" showDropDown="0" showInputMessage="1" showErrorMessage="1" allowBlank="1" errorTitle="Not an actual start" error="An actual start is a date that has already happened - today or earlier - typed like 14 Oct 2026. If the work has not started yet, leave it empty." promptTitle="Actual start" prompt="The date the work really started (today or earlier). Leave empty if it has not." type="date" operator="between">
      <formula1>DATE(2000,1,1)</formula1>
      <formula2>TODAY()</formula2>
    </dataValidation>
    <dataValidation sqref="H10:H29" showDropDown="0" showInputMessage="1" showErrorMessage="1" allowBlank="1" errorTitle="Not an actual finish" error="An actual finish must be a date that has already happened (today or earlier) and not before the actual start. Not finished yet? Leave Actual finish empty and put the date you expect in Expected finish." promptTitle="Actual finish" prompt="The date the work really finished (today or earlier). Not finished? Leave it empty and use Expected finish." type="custom">
      <formula1>OR(H10="",AND(ISNUMBER(H10),H10&gt;DATE(2000,1,1),H10&lt;=TODAY(),OR(G10="",H10&gt;=G10)))</formula1>
    </dataValidation>
    <dataValidation sqref="I10:I29" showDropDown="0" showInputMessage="1" showErrorMessage="1" allowBlank="1" errorTitle="Not a percentage" error="Type a number from 0 to 100." promptTitle="Actual % complete" prompt="How complete this activity actually is now, 0 to 100." type="decimal" operator="between">
      <formula1>0</formula1>
      <formula2>100</formula2>
    </dataValidation>
    <dataValidation sqref="J10:J29" showDropDown="0" showInputMessage="1" showErrorMessage="1" allowBlank="1" errorTitle="Not a date" error="Type a date, like 14 Oct 2026." promptTitle="Expected finish" prompt="Only if the finish date is changing: when you now expect it to finish. Otherwise leave it empty." type="date" operator="greaterThan">
      <formula1>DATE(2000,1,1)</formula1>
    </dataValidation>
    <dataValidation sqref="K10:K29" showDropDown="0" showInputMessage="1" showErrorMessage="0" allowBlank="1" promptTitle="Delay cause" prompt="If it is late or moving: pick the main cause from the arrow, or type your own." type="list">
      <formula1>=CauseList</formula1>
    </dataValidation>
    <dataValidation sqref="L10:L29" showDropDown="0" showInputMessage="1" showErrorMessage="1" allowBlank="1" errorTitle="Too long" error="Please keep it under 1,000 characters." promptTitle="Notes" prompt="What is holding it up, and what is being done about it." type="textLength" operator="lessThanOrEqual">
      <formula1>1000</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2F5597"/>
    <outlinePr summaryBelow="1" summaryRight="1"/>
    <pageSetUpPr fitToPage="1"/>
  </sheetPr>
  <dimension ref="A1:Z13"/>
  <sheetViews>
    <sheetView showGridLines="0" zoomScale="90" workbookViewId="0">
      <pane xSplit="2" ySplit="9" topLeftCell="C10"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11" customWidth="1" min="3" max="3"/>
    <col width="11" customWidth="1" min="4" max="4"/>
    <col width="8" customWidth="1" min="5" max="5"/>
    <col width="11" customWidth="1" min="6" max="6"/>
    <col width="12" customWidth="1" min="7" max="7"/>
    <col width="12" customWidth="1" min="8" max="8"/>
    <col width="11" customWidth="1" min="9" max="9"/>
    <col width="12" customWidth="1" min="10" max="10"/>
    <col width="18" customWidth="1" min="11" max="11"/>
    <col width="42" customWidth="1" min="12" max="12"/>
    <col width="10" customWidth="1" min="13" max="13"/>
    <col width="9" customWidth="1" min="14" max="14"/>
    <col width="19" customWidth="1" min="15" max="15"/>
    <col hidden="1" width="4" customWidth="1" min="16" max="16"/>
    <col hidden="1" width="4" customWidth="1" min="17" max="17"/>
    <col hidden="1" width="4" customWidth="1" min="18" max="18"/>
    <col hidden="1" width="4" customWidth="1" min="19" max="19"/>
    <col hidden="1" width="4" customWidth="1" min="20" max="20"/>
    <col hidden="1" width="4" customWidth="1" min="21" max="21"/>
    <col hidden="1" width="4" customWidth="1" min="22" max="22"/>
    <col hidden="1" width="4" customWidth="1" min="23" max="23"/>
    <col hidden="1" width="4" customWidth="1" min="24" max="24"/>
    <col hidden="1" width="4" customWidth="1" min="25" max="25"/>
    <col hidden="1" width="4" customWidth="1" min="26" max="26"/>
  </cols>
  <sheetData>
    <row r="1" ht="32" customHeight="1">
      <c r="A1" s="1" t="inlineStr">
        <is>
          <t>Programme update  ·  Priya Menon - Project Manager</t>
        </is>
      </c>
      <c r="B1" s="3" t="n"/>
      <c r="C1" s="3" t="n"/>
      <c r="D1" s="3" t="n"/>
      <c r="E1" s="3" t="n"/>
      <c r="F1" s="3" t="n"/>
      <c r="G1" s="3" t="n"/>
      <c r="H1" s="3" t="n"/>
      <c r="I1" s="3" t="n"/>
      <c r="J1" s="3" t="n"/>
      <c r="K1" s="3" t="n"/>
      <c r="L1" s="3" t="n"/>
      <c r="M1" s="3" t="n"/>
      <c r="N1" s="3" t="n"/>
      <c r="O1" s="3" t="n"/>
    </row>
    <row r="2" ht="22" customHeight="1">
      <c r="A2" s="4" t="inlineStr">
        <is>
          <t>SAMPLE-FITOUT   ·   data date 30 Jun 2024   ·   Whole programme</t>
        </is>
      </c>
      <c r="B2" s="3" t="n"/>
      <c r="C2" s="3" t="n"/>
      <c r="D2" s="3" t="n"/>
      <c r="E2" s="3" t="n"/>
      <c r="F2" s="3" t="n"/>
      <c r="G2" s="3" t="n"/>
      <c r="H2" s="3" t="n"/>
      <c r="I2" s="3" t="n"/>
      <c r="J2" s="3" t="n"/>
      <c r="K2" s="3" t="n"/>
      <c r="L2" s="3" t="n"/>
      <c r="M2" s="3" t="n"/>
      <c r="N2" s="3" t="n"/>
      <c r="O2" s="3" t="n"/>
    </row>
    <row r="3" ht="20" customHeight="1">
      <c r="A3" s="6" t="str">
        <f>IF(INFO("RECALC")="Automatic","","If these figures are struck through, or do not follow what is typed, Excel is calculating manually: press F9 to update them, or turn it on for good with Formulas › Calculation Options › Automatic.")</f>
        <v>If these figures are struck through, or do not follow what is typed, Excel is calculating manually: press F9 to update them, or turn it on for good with Formulas › Calculation Options › Automatic.</v>
      </c>
    </row>
    <row r="4" ht="20" customHeight="1">
      <c r="A4" s="59" t="inlineStr">
        <is>
          <t>1   Type in the white columns only; grey is the programme, locked. Type dates like 14 Oct 2026.
2   Actual start / finish: dates that have happened - type over the programme's. Not finished yet? Leave Actual finish empty and give an Expected finish.
3   Finishing late? Give a delay cause or a note. Check says what is still needed.</t>
        </is>
      </c>
      <c r="B4" s="60" t="n"/>
      <c r="C4" s="11" t="inlineStr">
        <is>
          <t>ACTIVITIES</t>
        </is>
      </c>
      <c r="D4" s="12" t="n"/>
      <c r="E4" s="61" t="inlineStr">
        <is>
          <t>UPDATED</t>
        </is>
      </c>
      <c r="F4" s="12" t="n"/>
      <c r="G4" s="14" t="inlineStr">
        <is>
          <t>NEED SOMETHING FROM YOU</t>
        </is>
      </c>
      <c r="H4" s="16" t="n"/>
      <c r="I4" s="12" t="n"/>
      <c r="J4" s="15" t="inlineStr">
        <is>
          <t>FINISHING LATE</t>
        </is>
      </c>
      <c r="K4" s="12" t="n"/>
      <c r="L4" s="62" t="inlineStr">
        <is>
          <t>Grey: the programme</t>
        </is>
      </c>
      <c r="M4" s="63" t="str">
        <f>HYPERLINK("#Overview!C5","‹ Overview")</f>
        <v>‹ Overview</v>
      </c>
    </row>
    <row r="5" ht="30" customHeight="1">
      <c r="A5" s="60" t="n"/>
      <c r="B5" s="60" t="n"/>
      <c r="C5" s="20">
        <f>COUNTA($P$10:$P$13)</f>
        <v>2</v>
      </c>
      <c r="D5" s="21" t="n"/>
      <c r="E5" s="64">
        <f>SUM($X$10:$X$13)</f>
        <v>0</v>
      </c>
      <c r="F5" s="21" t="n"/>
      <c r="G5" s="23">
        <f>COUNTIF($O$10:$O$13,"Reason needed")+COUNTIF($O$10:$O$13,"Start date needed")+COUNTIF($O$10:$O$13,"Finish date needed")+COUNTIF($O$10:$O$13,"Date in the future")</f>
        <v>0</v>
      </c>
      <c r="H5" s="25" t="n"/>
      <c r="I5" s="21" t="n"/>
      <c r="J5" s="24">
        <f>COUNTIFS($N$10:$N$13,"&gt;0",$H$10:$H$13,"")</f>
        <v>0</v>
      </c>
      <c r="K5" s="21" t="n"/>
      <c r="L5" s="65" t="inlineStr">
        <is>
          <t>White: your update</t>
        </is>
      </c>
      <c r="M5" s="66" t="inlineStr">
        <is>
          <t>Red in Check: still needed</t>
        </is>
      </c>
    </row>
    <row r="6" ht="20" customHeight="1">
      <c r="A6" s="60" t="n"/>
      <c r="B6" s="60" t="n"/>
      <c r="C6" s="29" t="str">
        <f>"in this update"</f>
        <v>in this update</v>
      </c>
      <c r="D6" s="30" t="n"/>
      <c r="E6" s="67" t="str">
        <f>IFERROR(TEXT(SUM($X$10:$X$13)/COUNTA($P$10:$P$13),"0%"),"0%")&amp;" done"</f>
        <v>0% done</v>
      </c>
      <c r="F6" s="30" t="n"/>
      <c r="G6" s="32" t="str">
        <f>"red in the Check column"</f>
        <v>red in the Check column</v>
      </c>
      <c r="H6" s="34" t="n"/>
      <c r="I6" s="30" t="n"/>
      <c r="J6" s="33" t="str">
        <f>"not finished, past the planned finish"</f>
        <v>not finished, past the planned finish</v>
      </c>
      <c r="K6" s="30" t="n"/>
      <c r="L6" s="68" t="inlineStr">
        <is>
          <t>Green: you changed it</t>
        </is>
      </c>
      <c r="M6" s="69" t="inlineStr">
        <is>
          <t>Bold red ID: critical</t>
        </is>
      </c>
    </row>
    <row r="8">
      <c r="A8" s="70" t="inlineStr">
        <is>
          <t>THE PROGRAMME  (locked)</t>
        </is>
      </c>
      <c r="B8" s="71" t="n"/>
      <c r="C8" s="71" t="n"/>
      <c r="D8" s="71" t="n"/>
      <c r="E8" s="71" t="n"/>
      <c r="F8" s="71" t="n"/>
      <c r="G8" s="72" t="inlineStr">
        <is>
          <t>YOUR UPDATE</t>
        </is>
      </c>
      <c r="H8" s="73" t="n"/>
      <c r="I8" s="73" t="n"/>
      <c r="J8" s="73" t="n"/>
      <c r="K8" s="73" t="n"/>
      <c r="L8" s="73" t="n"/>
      <c r="M8" s="74" t="inlineStr">
        <is>
          <t>CHECK</t>
        </is>
      </c>
      <c r="N8" s="3" t="n"/>
      <c r="O8" s="3" t="n"/>
    </row>
    <row r="9" ht="34" customHeight="1">
      <c r="A9" s="75" t="inlineStr">
        <is>
          <t>Activity ID</t>
        </is>
      </c>
      <c r="B9" s="76" t="inlineStr">
        <is>
          <t>Activity name</t>
        </is>
      </c>
      <c r="C9" s="75" t="inlineStr">
        <is>
          <t>Start</t>
        </is>
      </c>
      <c r="D9" s="75" t="inlineStr">
        <is>
          <t>Finish</t>
        </is>
      </c>
      <c r="E9" s="75" t="inlineStr">
        <is>
          <t>Float (d)</t>
        </is>
      </c>
      <c r="F9" s="75" t="inlineStr">
        <is>
          <t>Physical % complete</t>
        </is>
      </c>
      <c r="G9" s="51" t="inlineStr">
        <is>
          <t>Actual start</t>
        </is>
      </c>
      <c r="H9" s="51" t="inlineStr">
        <is>
          <t>Actual finish</t>
        </is>
      </c>
      <c r="I9" s="51" t="inlineStr">
        <is>
          <t>Actual % complete</t>
        </is>
      </c>
      <c r="J9" s="51" t="inlineStr">
        <is>
          <t>Expected finish</t>
        </is>
      </c>
      <c r="K9" s="51" t="inlineStr">
        <is>
          <t>Delay cause</t>
        </is>
      </c>
      <c r="L9" s="77" t="inlineStr">
        <is>
          <t>Notes</t>
        </is>
      </c>
      <c r="M9" s="41" t="inlineStr">
        <is>
          <t>Finish moves (d)</t>
        </is>
      </c>
      <c r="N9" s="41" t="inlineStr">
        <is>
          <t>Days late</t>
        </is>
      </c>
      <c r="O9" s="41" t="inlineStr">
        <is>
          <t>Check</t>
        </is>
      </c>
      <c r="P9" s="41" t="inlineStr">
        <is>
          <t>Status</t>
        </is>
      </c>
      <c r="Q9" s="41" t="inlineStr">
        <is>
          <t>Critical</t>
        </is>
      </c>
      <c r="R9" s="41" t="inlineStr">
        <is>
          <t>Planned start</t>
        </is>
      </c>
      <c r="S9" s="41" t="inlineStr">
        <is>
          <t>Compare finish</t>
        </is>
      </c>
      <c r="T9" s="41" t="inlineStr">
        <is>
          <t>was actual start</t>
        </is>
      </c>
      <c r="U9" s="41" t="inlineStr">
        <is>
          <t>was actual finish</t>
        </is>
      </c>
      <c r="V9" s="41" t="inlineStr">
        <is>
          <t>was actual %</t>
        </is>
      </c>
      <c r="W9" s="41" t="inlineStr">
        <is>
          <t>was expected finish</t>
        </is>
      </c>
      <c r="X9" s="41" t="inlineStr">
        <is>
          <t>changed</t>
        </is>
      </c>
      <c r="Y9" s="41" t="inlineStr">
        <is>
          <t>WBS level</t>
        </is>
      </c>
      <c r="Z9" s="41" t="inlineStr">
        <is>
          <t>Planned finish</t>
        </is>
      </c>
    </row>
    <row r="10" ht="18" customHeight="1">
      <c r="A10" s="78" t="inlineStr">
        <is>
          <t>ENG  Engineering</t>
        </is>
      </c>
      <c r="B10" s="79" t="n"/>
      <c r="C10" s="79" t="n"/>
      <c r="D10" s="79" t="n"/>
      <c r="E10" s="79" t="n"/>
      <c r="F10" s="79" t="n"/>
      <c r="G10" s="79" t="n"/>
      <c r="H10" s="79" t="n"/>
      <c r="I10" s="79" t="n"/>
      <c r="J10" s="79" t="n"/>
      <c r="K10" s="79" t="n"/>
      <c r="L10" s="79" t="n"/>
      <c r="M10" s="79" t="n"/>
      <c r="N10" s="79" t="n"/>
      <c r="O10" s="79" t="n"/>
      <c r="Y10" t="n">
        <v>1</v>
      </c>
    </row>
    <row r="11">
      <c r="A11" s="80" t="inlineStr">
        <is>
          <t>A1000</t>
        </is>
      </c>
      <c r="B11" s="80" t="inlineStr">
        <is>
          <t>Design package 00</t>
        </is>
      </c>
      <c r="C11" s="81" t="n">
        <v>45293</v>
      </c>
      <c r="D11" s="81" t="n">
        <v>45300</v>
      </c>
      <c r="E11" s="82" t="n">
        <v>0</v>
      </c>
      <c r="F11" s="83" t="n">
        <v>100</v>
      </c>
      <c r="G11" s="84" t="n">
        <v>45293</v>
      </c>
      <c r="H11" s="84" t="n">
        <v>45300</v>
      </c>
      <c r="I11" s="85" t="n"/>
      <c r="J11" s="84" t="n"/>
      <c r="K11" s="86" t="n"/>
      <c r="L11" s="87" t="n"/>
      <c r="M11" s="88">
        <f>IFERROR(IF(OR(D11="",IF(H11&lt;&gt;"",H11,IF(J11&lt;&gt;"",J11,D11))=""),"",IF(H11&lt;&gt;"",H11,IF(J11&lt;&gt;"",J11,D11))-D11),"")</f>
        <v>0</v>
      </c>
      <c r="N11" s="89">
        <f>IFERROR(IF(OR(S11="",IF(H11&lt;&gt;"",H11,IF(J11&lt;&gt;"",J11,D11))=""),"",MAX(0,IF(H11&lt;&gt;"",H11,IF(J11&lt;&gt;"",J11,D11))-S11)),"")</f>
        <v>0</v>
      </c>
      <c r="O11" s="90" t="str">
        <f>IF(OR(AND(G11&lt;&gt;"",NOT(ISNUMBER(G11))),AND(H11&lt;&gt;"",NOT(ISNUMBER(H11))),AND(J11&lt;&gt;"",NOT(ISNUMBER(J11)))),"Not a date",IF(OR(AND(G11&lt;&gt;"",N(G11)&gt;TODAY()),AND(H11&lt;&gt;"",N(H11)&gt;TODAY())),"Date in the future",IF(H11&lt;&gt;"",IF(G11="","Start date needed","✓ Complete"),IF(AND(IF(H11&lt;&gt;"",H11,IF(J11&lt;&gt;"",J11,D11))&lt;&gt;"",S11&lt;&gt;"",IF(H11&lt;&gt;"",H11,IF(J11&lt;&gt;"",J11,D11))&gt;S11,K11="",L11=""),"Reason needed",IF(AND(G11="",OR(N(I11)&gt;0,AND(C11&lt;&gt;"",C11&lt;DATE(2024,6,30),X11=0))),"Start date needed",IF(AND(IF(H11&lt;&gt;"",H11,IF(J11&lt;&gt;"",J11,D11))&lt;&gt;"",IF(H11&lt;&gt;"",H11,IF(J11&lt;&gt;"",J11,D11))&lt;DATE(2024,6,30)),"Finish date needed",IF(X11=1,"✓ Updated","Not changed yet")))))))</f>
        <v>✓ Complete</v>
      </c>
      <c r="P11" t="inlineStr">
        <is>
          <t>Completed</t>
        </is>
      </c>
      <c r="Q11" t="inlineStr"/>
      <c r="R11" s="91" t="n">
        <v>45293</v>
      </c>
      <c r="S11" s="91" t="n">
        <v>45300</v>
      </c>
      <c r="T11" s="91" t="n">
        <v>45293</v>
      </c>
      <c r="U11" s="91" t="n">
        <v>45300</v>
      </c>
      <c r="V11" s="92" t="n"/>
      <c r="W11" s="91" t="n"/>
      <c r="X11">
        <f>IF(OR(G11&lt;&gt;T11,H11&lt;&gt;U11,I11&lt;&gt;V11,J11&lt;&gt;W11,K11&lt;&gt;"",L11&lt;&gt;""),1,0)</f>
        <v>0</v>
      </c>
      <c r="Z11" s="91" t="n">
        <v>45300</v>
      </c>
    </row>
    <row r="12" ht="18" customHeight="1">
      <c r="A12" s="78" t="inlineStr">
        <is>
          <t>CON  Construction</t>
        </is>
      </c>
      <c r="B12" s="79" t="n"/>
      <c r="C12" s="79" t="n"/>
      <c r="D12" s="79" t="n"/>
      <c r="E12" s="79" t="n"/>
      <c r="F12" s="79" t="n"/>
      <c r="G12" s="79" t="n"/>
      <c r="H12" s="79" t="n"/>
      <c r="I12" s="79" t="n"/>
      <c r="J12" s="79" t="n"/>
      <c r="K12" s="79" t="n"/>
      <c r="L12" s="79" t="n"/>
      <c r="M12" s="79" t="n"/>
      <c r="N12" s="79" t="n"/>
      <c r="O12" s="79" t="n"/>
      <c r="Y12" t="n">
        <v>1</v>
      </c>
    </row>
    <row r="13">
      <c r="A13" s="80" t="inlineStr">
        <is>
          <t>A1590</t>
        </is>
      </c>
      <c r="B13" s="80" t="inlineStr">
        <is>
          <t>Build package 59</t>
        </is>
      </c>
      <c r="C13" s="81" t="n">
        <v>45660</v>
      </c>
      <c r="D13" s="81" t="n">
        <v>45681</v>
      </c>
      <c r="E13" s="82" t="n">
        <v>50</v>
      </c>
      <c r="F13" s="83" t="n">
        <v>0</v>
      </c>
      <c r="G13" s="84" t="n"/>
      <c r="H13" s="84" t="n"/>
      <c r="I13" s="85" t="n"/>
      <c r="J13" s="84" t="n"/>
      <c r="K13" s="86" t="n"/>
      <c r="L13" s="87" t="n"/>
      <c r="M13" s="88">
        <f>IFERROR(IF(OR(D13="",IF(H13&lt;&gt;"",H13,IF(J13&lt;&gt;"",J13,D13))=""),"",IF(H13&lt;&gt;"",H13,IF(J13&lt;&gt;"",J13,D13))-D13),"")</f>
        <v>0</v>
      </c>
      <c r="N13" s="89">
        <f>IFERROR(IF(OR(S13="",IF(H13&lt;&gt;"",H13,IF(J13&lt;&gt;"",J13,D13))=""),"",MAX(0,IF(H13&lt;&gt;"",H13,IF(J13&lt;&gt;"",J13,D13))-S13)),"")</f>
        <v>0</v>
      </c>
      <c r="O13" s="90" t="str">
        <f>IF(OR(AND(G13&lt;&gt;"",NOT(ISNUMBER(G13))),AND(H13&lt;&gt;"",NOT(ISNUMBER(H13))),AND(J13&lt;&gt;"",NOT(ISNUMBER(J13)))),"Not a date",IF(OR(AND(G13&lt;&gt;"",N(G13)&gt;TODAY()),AND(H13&lt;&gt;"",N(H13)&gt;TODAY())),"Date in the future",IF(H13&lt;&gt;"",IF(G13="","Start date needed","✓ Complete"),IF(AND(IF(H13&lt;&gt;"",H13,IF(J13&lt;&gt;"",J13,D13))&lt;&gt;"",S13&lt;&gt;"",IF(H13&lt;&gt;"",H13,IF(J13&lt;&gt;"",J13,D13))&gt;S13,K13="",L13=""),"Reason needed",IF(AND(G13="",OR(N(I13)&gt;0,AND(C13&lt;&gt;"",C13&lt;DATE(2024,6,30),X13=0))),"Start date needed",IF(AND(IF(H13&lt;&gt;"",H13,IF(J13&lt;&gt;"",J13,D13))&lt;&gt;"",IF(H13&lt;&gt;"",H13,IF(J13&lt;&gt;"",J13,D13))&lt;DATE(2024,6,30)),"Finish date needed",IF(X13=1,"✓ Updated","Not changed yet")))))))</f>
        <v>Not changed yet</v>
      </c>
      <c r="P13" t="inlineStr">
        <is>
          <t>Not Started</t>
        </is>
      </c>
      <c r="Q13" t="inlineStr"/>
      <c r="R13" s="91" t="n">
        <v>45660</v>
      </c>
      <c r="S13" s="91" t="n">
        <v>45681</v>
      </c>
      <c r="T13" s="91" t="n"/>
      <c r="U13" s="91" t="n"/>
      <c r="V13" s="92" t="n"/>
      <c r="W13" s="91" t="n"/>
      <c r="X13">
        <f>IF(OR(G13&lt;&gt;T13,H13&lt;&gt;U13,I13&lt;&gt;V13,J13&lt;&gt;W13,K13&lt;&gt;"",L13&lt;&gt;""),1,0)</f>
        <v>0</v>
      </c>
      <c r="Z13" s="91" t="n">
        <v>45681</v>
      </c>
    </row>
  </sheetData>
  <sheetProtection selectLockedCells="0" selectUnlockedCells="0" sheet="1" objects="0" insertRows="1" insertHyperlinks="1" autoFilter="0" scenarios="0" formatColumns="0" deleteColumns="1" insertColumns="1" pivotTables="1" deleteRows="1" formatCells="1" formatRows="0" sort="0"/>
  <autoFilter ref="A9:O13"/>
  <mergeCells count="20">
    <mergeCell ref="C6:D6"/>
    <mergeCell ref="G6:I6"/>
    <mergeCell ref="J5:K5"/>
    <mergeCell ref="C5:D5"/>
    <mergeCell ref="E5:F5"/>
    <mergeCell ref="M6:O6"/>
    <mergeCell ref="A3:O3"/>
    <mergeCell ref="C4:D4"/>
    <mergeCell ref="E4:F4"/>
    <mergeCell ref="G5:I5"/>
    <mergeCell ref="J6:K6"/>
    <mergeCell ref="A8:F8"/>
    <mergeCell ref="G4:I4"/>
    <mergeCell ref="M8:O8"/>
    <mergeCell ref="J4:K4"/>
    <mergeCell ref="E6:F6"/>
    <mergeCell ref="M4:O4"/>
    <mergeCell ref="M5:O5"/>
    <mergeCell ref="G8:L8"/>
    <mergeCell ref="A4:B6"/>
  </mergeCells>
  <conditionalFormatting sqref="G5">
    <cfRule type="cellIs" priority="1" operator="greaterThan" dxfId="0">
      <formula>0</formula>
    </cfRule>
  </conditionalFormatting>
  <conditionalFormatting sqref="G10:G13">
    <cfRule type="expression" priority="2" dxfId="12">
      <formula>G10&lt;&gt;T10</formula>
    </cfRule>
  </conditionalFormatting>
  <conditionalFormatting sqref="H10:H13">
    <cfRule type="expression" priority="3" dxfId="12">
      <formula>H10&lt;&gt;U10</formula>
    </cfRule>
  </conditionalFormatting>
  <conditionalFormatting sqref="I10:I13">
    <cfRule type="expression" priority="4" dxfId="12">
      <formula>I10&lt;&gt;V10</formula>
    </cfRule>
    <cfRule type="dataBar" priority="10">
      <dataBar minLength="0" maxLength="100" showValue="1">
        <cfvo type="num" val="0"/>
        <cfvo type="num" val="100"/>
        <color rgb="0070AD47"/>
      </dataBar>
    </cfRule>
  </conditionalFormatting>
  <conditionalFormatting sqref="J10:J13">
    <cfRule type="expression" priority="5" dxfId="12">
      <formula>J10&lt;&gt;W10</formula>
    </cfRule>
  </conditionalFormatting>
  <conditionalFormatting sqref="K10:L13">
    <cfRule type="expression" priority="6" dxfId="8">
      <formula>K10&lt;&gt;""</formula>
    </cfRule>
  </conditionalFormatting>
  <conditionalFormatting sqref="A10:A13">
    <cfRule type="expression" priority="7" dxfId="3">
      <formula>$Q10="Yes"</formula>
    </cfRule>
  </conditionalFormatting>
  <conditionalFormatting sqref="E10:E13">
    <cfRule type="cellIs" priority="8" operator="lessThan" dxfId="13">
      <formula>0</formula>
    </cfRule>
  </conditionalFormatting>
  <conditionalFormatting sqref="F10:F13">
    <cfRule type="dataBar" priority="9">
      <dataBar minLength="0" maxLength="100" showValue="1">
        <cfvo type="num" val="0"/>
        <cfvo type="num" val="100"/>
        <color rgb="00A9C4EB"/>
      </dataBar>
    </cfRule>
  </conditionalFormatting>
  <conditionalFormatting sqref="M10:M13">
    <cfRule type="cellIs" priority="11" operator="greaterThan" dxfId="9">
      <formula>0</formula>
    </cfRule>
    <cfRule type="cellIs" priority="12" operator="lessThan" dxfId="5">
      <formula>0</formula>
    </cfRule>
  </conditionalFormatting>
  <conditionalFormatting sqref="N10:N13">
    <cfRule type="cellIs" priority="13" operator="greaterThan" dxfId="9">
      <formula>0</formula>
    </cfRule>
  </conditionalFormatting>
  <conditionalFormatting sqref="O10:O13">
    <cfRule type="expression" priority="14" dxfId="10">
      <formula>LEFT(O10,1)="✓"</formula>
    </cfRule>
    <cfRule type="expression" priority="15" dxfId="11">
      <formula>O10="Reason needed"</formula>
    </cfRule>
    <cfRule type="expression" priority="16" dxfId="11">
      <formula>O10="Start date needed"</formula>
    </cfRule>
    <cfRule type="expression" priority="17" dxfId="11">
      <formula>O10="Finish date needed"</formula>
    </cfRule>
    <cfRule type="expression" priority="18" dxfId="11">
      <formula>O10="Date in the future"</formula>
    </cfRule>
    <cfRule type="expression" priority="19" dxfId="11">
      <formula>O10="Not a date"</formula>
    </cfRule>
    <cfRule type="expression" priority="20" dxfId="6">
      <formula>O10="Not changed yet"</formula>
    </cfRule>
  </conditionalFormatting>
  <dataValidations count="6">
    <dataValidation sqref="G10:G13" showDropDown="0" showInputMessage="1" showErrorMessage="1" allowBlank="1" errorTitle="Not an actual start" error="An actual start is a date that has already happened - today or earlier - typed like 14 Oct 2026. If the work has not started yet, leave it empty." promptTitle="Actual start" prompt="The date the work really started (today or earlier). Leave empty if it has not." type="date" operator="between">
      <formula1>DATE(2000,1,1)</formula1>
      <formula2>TODAY()</formula2>
    </dataValidation>
    <dataValidation sqref="H10:H13" showDropDown="0" showInputMessage="1" showErrorMessage="1" allowBlank="1" errorTitle="Not an actual finish" error="An actual finish must be a date that has already happened (today or earlier) and not before the actual start. Not finished yet? Leave Actual finish empty and put the date you expect in Expected finish." promptTitle="Actual finish" prompt="The date the work really finished (today or earlier). Not finished? Leave it empty and use Expected finish." type="custom">
      <formula1>OR(H10="",AND(ISNUMBER(H10),H10&gt;DATE(2000,1,1),H10&lt;=TODAY(),OR(G10="",H10&gt;=G10)))</formula1>
    </dataValidation>
    <dataValidation sqref="I10:I13" showDropDown="0" showInputMessage="1" showErrorMessage="1" allowBlank="1" errorTitle="Not a percentage" error="Type a number from 0 to 100." promptTitle="Actual % complete" prompt="How complete this activity actually is now, 0 to 100." type="decimal" operator="between">
      <formula1>0</formula1>
      <formula2>100</formula2>
    </dataValidation>
    <dataValidation sqref="J10:J13" showDropDown="0" showInputMessage="1" showErrorMessage="1" allowBlank="1" errorTitle="Not a date" error="Type a date, like 14 Oct 2026." promptTitle="Expected finish" prompt="Only if the finish date is changing: when you now expect it to finish. Otherwise leave it empty." type="date" operator="greaterThan">
      <formula1>DATE(2000,1,1)</formula1>
    </dataValidation>
    <dataValidation sqref="K10:K13" showDropDown="0" showInputMessage="1" showErrorMessage="0" allowBlank="1" promptTitle="Delay cause" prompt="If it is late or moving: pick the main cause from the arrow, or type your own." type="list">
      <formula1>=CauseList</formula1>
    </dataValidation>
    <dataValidation sqref="L10:L13" showDropDown="0" showInputMessage="1" showErrorMessage="1" allowBlank="1" errorTitle="Too long" error="Please keep it under 1,000 characters." promptTitle="Notes" prompt="What is holding it up, and what is being done about it." type="textLength" operator="lessThanOrEqual">
      <formula1>1000</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2F5597"/>
    <outlinePr summaryBelow="1" summaryRight="1"/>
    <pageSetUpPr fitToPage="1"/>
  </sheetPr>
  <dimension ref="A1:Z30"/>
  <sheetViews>
    <sheetView showGridLines="0" zoomScale="90" workbookViewId="0">
      <pane xSplit="2" ySplit="9" topLeftCell="C10"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11" customWidth="1" min="3" max="3"/>
    <col width="11" customWidth="1" min="4" max="4"/>
    <col width="8" customWidth="1" min="5" max="5"/>
    <col width="11" customWidth="1" min="6" max="6"/>
    <col width="12" customWidth="1" min="7" max="7"/>
    <col width="12" customWidth="1" min="8" max="8"/>
    <col width="11" customWidth="1" min="9" max="9"/>
    <col width="12" customWidth="1" min="10" max="10"/>
    <col width="18" customWidth="1" min="11" max="11"/>
    <col width="42" customWidth="1" min="12" max="12"/>
    <col width="10" customWidth="1" min="13" max="13"/>
    <col width="9" customWidth="1" min="14" max="14"/>
    <col width="19" customWidth="1" min="15" max="15"/>
    <col hidden="1" width="4" customWidth="1" min="16" max="16"/>
    <col hidden="1" width="4" customWidth="1" min="17" max="17"/>
    <col hidden="1" width="4" customWidth="1" min="18" max="18"/>
    <col hidden="1" width="4" customWidth="1" min="19" max="19"/>
    <col hidden="1" width="4" customWidth="1" min="20" max="20"/>
    <col hidden="1" width="4" customWidth="1" min="21" max="21"/>
    <col hidden="1" width="4" customWidth="1" min="22" max="22"/>
    <col hidden="1" width="4" customWidth="1" min="23" max="23"/>
    <col hidden="1" width="4" customWidth="1" min="24" max="24"/>
    <col hidden="1" width="4" customWidth="1" min="25" max="25"/>
    <col hidden="1" width="4" customWidth="1" min="26" max="26"/>
  </cols>
  <sheetData>
    <row r="1" ht="32" customHeight="1">
      <c r="A1" s="1" t="inlineStr">
        <is>
          <t>Programme update  ·  Sara Moss - Site Manager</t>
        </is>
      </c>
      <c r="B1" s="3" t="n"/>
      <c r="C1" s="3" t="n"/>
      <c r="D1" s="3" t="n"/>
      <c r="E1" s="3" t="n"/>
      <c r="F1" s="3" t="n"/>
      <c r="G1" s="3" t="n"/>
      <c r="H1" s="3" t="n"/>
      <c r="I1" s="3" t="n"/>
      <c r="J1" s="3" t="n"/>
      <c r="K1" s="3" t="n"/>
      <c r="L1" s="3" t="n"/>
      <c r="M1" s="3" t="n"/>
      <c r="N1" s="3" t="n"/>
      <c r="O1" s="3" t="n"/>
    </row>
    <row r="2" ht="22" customHeight="1">
      <c r="A2" s="4" t="inlineStr">
        <is>
          <t>SAMPLE-FITOUT   ·   data date 30 Jun 2024   ·   Whole programme</t>
        </is>
      </c>
      <c r="B2" s="3" t="n"/>
      <c r="C2" s="3" t="n"/>
      <c r="D2" s="3" t="n"/>
      <c r="E2" s="3" t="n"/>
      <c r="F2" s="3" t="n"/>
      <c r="G2" s="3" t="n"/>
      <c r="H2" s="3" t="n"/>
      <c r="I2" s="3" t="n"/>
      <c r="J2" s="3" t="n"/>
      <c r="K2" s="3" t="n"/>
      <c r="L2" s="3" t="n"/>
      <c r="M2" s="3" t="n"/>
      <c r="N2" s="3" t="n"/>
      <c r="O2" s="3" t="n"/>
    </row>
    <row r="3" ht="20" customHeight="1">
      <c r="A3" s="6" t="str">
        <f>IF(INFO("RECALC")="Automatic","","If these figures are struck through, or do not follow what is typed, Excel is calculating manually: press F9 to update them, or turn it on for good with Formulas › Calculation Options › Automatic.")</f>
        <v>If these figures are struck through, or do not follow what is typed, Excel is calculating manually: press F9 to update them, or turn it on for good with Formulas › Calculation Options › Automatic.</v>
      </c>
    </row>
    <row r="4" ht="20" customHeight="1">
      <c r="A4" s="59" t="inlineStr">
        <is>
          <t>1   Type in the white columns only; grey is the programme, locked. Type dates like 14 Oct 2026.
2   Actual start / finish: dates that have happened - type over the programme's. Not finished yet? Leave Actual finish empty and give an Expected finish.
3   Finishing late? Give a delay cause or a note. Check says what is still needed.</t>
        </is>
      </c>
      <c r="B4" s="60" t="n"/>
      <c r="C4" s="11" t="inlineStr">
        <is>
          <t>ACTIVITIES</t>
        </is>
      </c>
      <c r="D4" s="12" t="n"/>
      <c r="E4" s="61" t="inlineStr">
        <is>
          <t>UPDATED</t>
        </is>
      </c>
      <c r="F4" s="12" t="n"/>
      <c r="G4" s="14" t="inlineStr">
        <is>
          <t>NEED SOMETHING FROM YOU</t>
        </is>
      </c>
      <c r="H4" s="16" t="n"/>
      <c r="I4" s="12" t="n"/>
      <c r="J4" s="15" t="inlineStr">
        <is>
          <t>FINISHING LATE</t>
        </is>
      </c>
      <c r="K4" s="12" t="n"/>
      <c r="L4" s="62" t="inlineStr">
        <is>
          <t>Grey: the programme</t>
        </is>
      </c>
      <c r="M4" s="63" t="str">
        <f>HYPERLINK("#Overview!C5","‹ Overview")</f>
        <v>‹ Overview</v>
      </c>
    </row>
    <row r="5" ht="30" customHeight="1">
      <c r="A5" s="60" t="n"/>
      <c r="B5" s="60" t="n"/>
      <c r="C5" s="20">
        <f>COUNTA($P$10:$P$30)</f>
        <v>20</v>
      </c>
      <c r="D5" s="21" t="n"/>
      <c r="E5" s="64">
        <f>SUM($X$10:$X$30)</f>
        <v>0</v>
      </c>
      <c r="F5" s="21" t="n"/>
      <c r="G5" s="23">
        <f>COUNTIF($O$10:$O$30,"Reason needed")+COUNTIF($O$10:$O$30,"Start date needed")+COUNTIF($O$10:$O$30,"Finish date needed")+COUNTIF($O$10:$O$30,"Date in the future")</f>
        <v>2</v>
      </c>
      <c r="H5" s="25" t="n"/>
      <c r="I5" s="21" t="n"/>
      <c r="J5" s="24">
        <f>COUNTIFS($N$10:$N$30,"&gt;0",$H$10:$H$30,"")</f>
        <v>0</v>
      </c>
      <c r="K5" s="21" t="n"/>
      <c r="L5" s="65" t="inlineStr">
        <is>
          <t>White: your update</t>
        </is>
      </c>
      <c r="M5" s="66" t="inlineStr">
        <is>
          <t>Red in Check: still needed</t>
        </is>
      </c>
    </row>
    <row r="6" ht="20" customHeight="1">
      <c r="A6" s="60" t="n"/>
      <c r="B6" s="60" t="n"/>
      <c r="C6" s="29" t="str">
        <f>"in this update"</f>
        <v>in this update</v>
      </c>
      <c r="D6" s="30" t="n"/>
      <c r="E6" s="67" t="str">
        <f>IFERROR(TEXT(SUM($X$10:$X$30)/COUNTA($P$10:$P$30),"0%"),"0%")&amp;" done"</f>
        <v>0% done</v>
      </c>
      <c r="F6" s="30" t="n"/>
      <c r="G6" s="32" t="str">
        <f>"red in the Check column"</f>
        <v>red in the Check column</v>
      </c>
      <c r="H6" s="34" t="n"/>
      <c r="I6" s="30" t="n"/>
      <c r="J6" s="33" t="str">
        <f>"not finished, past the planned finish"</f>
        <v>not finished, past the planned finish</v>
      </c>
      <c r="K6" s="30" t="n"/>
      <c r="L6" s="68" t="inlineStr">
        <is>
          <t>Green: you changed it</t>
        </is>
      </c>
      <c r="M6" s="69" t="inlineStr">
        <is>
          <t>Bold red ID: critical</t>
        </is>
      </c>
    </row>
    <row r="8">
      <c r="A8" s="70" t="inlineStr">
        <is>
          <t>THE PROGRAMME  (locked)</t>
        </is>
      </c>
      <c r="B8" s="71" t="n"/>
      <c r="C8" s="71" t="n"/>
      <c r="D8" s="71" t="n"/>
      <c r="E8" s="71" t="n"/>
      <c r="F8" s="71" t="n"/>
      <c r="G8" s="72" t="inlineStr">
        <is>
          <t>YOUR UPDATE</t>
        </is>
      </c>
      <c r="H8" s="73" t="n"/>
      <c r="I8" s="73" t="n"/>
      <c r="J8" s="73" t="n"/>
      <c r="K8" s="73" t="n"/>
      <c r="L8" s="73" t="n"/>
      <c r="M8" s="74" t="inlineStr">
        <is>
          <t>CHECK</t>
        </is>
      </c>
      <c r="N8" s="3" t="n"/>
      <c r="O8" s="3" t="n"/>
    </row>
    <row r="9" ht="34" customHeight="1">
      <c r="A9" s="75" t="inlineStr">
        <is>
          <t>Activity ID</t>
        </is>
      </c>
      <c r="B9" s="76" t="inlineStr">
        <is>
          <t>Activity name</t>
        </is>
      </c>
      <c r="C9" s="75" t="inlineStr">
        <is>
          <t>Start</t>
        </is>
      </c>
      <c r="D9" s="75" t="inlineStr">
        <is>
          <t>Finish</t>
        </is>
      </c>
      <c r="E9" s="75" t="inlineStr">
        <is>
          <t>Float (d)</t>
        </is>
      </c>
      <c r="F9" s="75" t="inlineStr">
        <is>
          <t>Physical % complete</t>
        </is>
      </c>
      <c r="G9" s="51" t="inlineStr">
        <is>
          <t>Actual start</t>
        </is>
      </c>
      <c r="H9" s="51" t="inlineStr">
        <is>
          <t>Actual finish</t>
        </is>
      </c>
      <c r="I9" s="51" t="inlineStr">
        <is>
          <t>Actual % complete</t>
        </is>
      </c>
      <c r="J9" s="51" t="inlineStr">
        <is>
          <t>Expected finish</t>
        </is>
      </c>
      <c r="K9" s="51" t="inlineStr">
        <is>
          <t>Delay cause</t>
        </is>
      </c>
      <c r="L9" s="77" t="inlineStr">
        <is>
          <t>Notes</t>
        </is>
      </c>
      <c r="M9" s="41" t="inlineStr">
        <is>
          <t>Finish moves (d)</t>
        </is>
      </c>
      <c r="N9" s="41" t="inlineStr">
        <is>
          <t>Days late</t>
        </is>
      </c>
      <c r="O9" s="41" t="inlineStr">
        <is>
          <t>Check</t>
        </is>
      </c>
      <c r="P9" s="41" t="inlineStr">
        <is>
          <t>Status</t>
        </is>
      </c>
      <c r="Q9" s="41" t="inlineStr">
        <is>
          <t>Critical</t>
        </is>
      </c>
      <c r="R9" s="41" t="inlineStr">
        <is>
          <t>Planned start</t>
        </is>
      </c>
      <c r="S9" s="41" t="inlineStr">
        <is>
          <t>Compare finish</t>
        </is>
      </c>
      <c r="T9" s="41" t="inlineStr">
        <is>
          <t>was actual start</t>
        </is>
      </c>
      <c r="U9" s="41" t="inlineStr">
        <is>
          <t>was actual finish</t>
        </is>
      </c>
      <c r="V9" s="41" t="inlineStr">
        <is>
          <t>was actual %</t>
        </is>
      </c>
      <c r="W9" s="41" t="inlineStr">
        <is>
          <t>was expected finish</t>
        </is>
      </c>
      <c r="X9" s="41" t="inlineStr">
        <is>
          <t>changed</t>
        </is>
      </c>
      <c r="Y9" s="41" t="inlineStr">
        <is>
          <t>WBS level</t>
        </is>
      </c>
      <c r="Z9" s="41" t="inlineStr">
        <is>
          <t>Planned finish</t>
        </is>
      </c>
    </row>
    <row r="10" ht="18" customHeight="1">
      <c r="A10" s="78" t="inlineStr">
        <is>
          <t>CON  Construction</t>
        </is>
      </c>
      <c r="B10" s="79" t="n"/>
      <c r="C10" s="79" t="n"/>
      <c r="D10" s="79" t="n"/>
      <c r="E10" s="79" t="n"/>
      <c r="F10" s="79" t="n"/>
      <c r="G10" s="79" t="n"/>
      <c r="H10" s="79" t="n"/>
      <c r="I10" s="79" t="n"/>
      <c r="J10" s="79" t="n"/>
      <c r="K10" s="79" t="n"/>
      <c r="L10" s="79" t="n"/>
      <c r="M10" s="79" t="n"/>
      <c r="N10" s="79" t="n"/>
      <c r="O10" s="79" t="n"/>
      <c r="Y10" t="n">
        <v>1</v>
      </c>
    </row>
    <row r="11">
      <c r="A11" s="80" t="inlineStr">
        <is>
          <t>A1200</t>
        </is>
      </c>
      <c r="B11" s="80" t="inlineStr">
        <is>
          <t>Build package 20</t>
        </is>
      </c>
      <c r="C11" s="81" t="n">
        <v>45355</v>
      </c>
      <c r="D11" s="81" t="n">
        <v>45369</v>
      </c>
      <c r="E11" s="82" t="n">
        <v>0</v>
      </c>
      <c r="F11" s="83" t="n">
        <v>100</v>
      </c>
      <c r="G11" s="84" t="n">
        <v>45355</v>
      </c>
      <c r="H11" s="84" t="n">
        <v>45369</v>
      </c>
      <c r="I11" s="85" t="n"/>
      <c r="J11" s="84" t="n"/>
      <c r="K11" s="86" t="n"/>
      <c r="L11" s="87" t="n"/>
      <c r="M11" s="88">
        <f>IFERROR(IF(OR(D11="",IF(H11&lt;&gt;"",H11,IF(J11&lt;&gt;"",J11,D11))=""),"",IF(H11&lt;&gt;"",H11,IF(J11&lt;&gt;"",J11,D11))-D11),"")</f>
        <v>0</v>
      </c>
      <c r="N11" s="89">
        <f>IFERROR(IF(OR(S11="",IF(H11&lt;&gt;"",H11,IF(J11&lt;&gt;"",J11,D11))=""),"",MAX(0,IF(H11&lt;&gt;"",H11,IF(J11&lt;&gt;"",J11,D11))-S11)),"")</f>
        <v>0</v>
      </c>
      <c r="O11" s="90" t="str">
        <f>IF(OR(AND(G11&lt;&gt;"",NOT(ISNUMBER(G11))),AND(H11&lt;&gt;"",NOT(ISNUMBER(H11))),AND(J11&lt;&gt;"",NOT(ISNUMBER(J11)))),"Not a date",IF(OR(AND(G11&lt;&gt;"",N(G11)&gt;TODAY()),AND(H11&lt;&gt;"",N(H11)&gt;TODAY())),"Date in the future",IF(H11&lt;&gt;"",IF(G11="","Start date needed","✓ Complete"),IF(AND(IF(H11&lt;&gt;"",H11,IF(J11&lt;&gt;"",J11,D11))&lt;&gt;"",S11&lt;&gt;"",IF(H11&lt;&gt;"",H11,IF(J11&lt;&gt;"",J11,D11))&gt;S11,K11="",L11=""),"Reason needed",IF(AND(G11="",OR(N(I11)&gt;0,AND(C11&lt;&gt;"",C11&lt;DATE(2024,6,30),X11=0))),"Start date needed",IF(AND(IF(H11&lt;&gt;"",H11,IF(J11&lt;&gt;"",J11,D11))&lt;&gt;"",IF(H11&lt;&gt;"",H11,IF(J11&lt;&gt;"",J11,D11))&lt;DATE(2024,6,30)),"Finish date needed",IF(X11=1,"✓ Updated","Not changed yet")))))))</f>
        <v>✓ Complete</v>
      </c>
      <c r="P11" t="inlineStr">
        <is>
          <t>Completed</t>
        </is>
      </c>
      <c r="Q11" t="inlineStr"/>
      <c r="R11" s="91" t="n">
        <v>45355</v>
      </c>
      <c r="S11" s="91" t="n">
        <v>45369</v>
      </c>
      <c r="T11" s="91" t="n">
        <v>45355</v>
      </c>
      <c r="U11" s="91" t="n">
        <v>45369</v>
      </c>
      <c r="V11" s="92" t="n"/>
      <c r="W11" s="91" t="n"/>
      <c r="X11">
        <f>IF(OR(G11&lt;&gt;T11,H11&lt;&gt;U11,I11&lt;&gt;V11,J11&lt;&gt;W11,K11&lt;&gt;"",L11&lt;&gt;""),1,0)</f>
        <v>0</v>
      </c>
      <c r="Z11" s="91" t="n">
        <v>45369</v>
      </c>
    </row>
    <row r="12">
      <c r="A12" s="80" t="inlineStr">
        <is>
          <t>A1220</t>
        </is>
      </c>
      <c r="B12" s="80" t="inlineStr">
        <is>
          <t>Build package 22</t>
        </is>
      </c>
      <c r="C12" s="81" t="n">
        <v>45369</v>
      </c>
      <c r="D12" s="81" t="n">
        <v>45383</v>
      </c>
      <c r="E12" s="82" t="n">
        <v>1</v>
      </c>
      <c r="F12" s="83" t="n">
        <v>100</v>
      </c>
      <c r="G12" s="84" t="n">
        <v>45369</v>
      </c>
      <c r="H12" s="84" t="n">
        <v>45383</v>
      </c>
      <c r="I12" s="85" t="n"/>
      <c r="J12" s="84" t="n"/>
      <c r="K12" s="86" t="n"/>
      <c r="L12" s="87" t="n"/>
      <c r="M12" s="88">
        <f>IFERROR(IF(OR(D12="",IF(H12&lt;&gt;"",H12,IF(J12&lt;&gt;"",J12,D12))=""),"",IF(H12&lt;&gt;"",H12,IF(J12&lt;&gt;"",J12,D12))-D12),"")</f>
        <v>0</v>
      </c>
      <c r="N12" s="89">
        <f>IFERROR(IF(OR(S12="",IF(H12&lt;&gt;"",H12,IF(J12&lt;&gt;"",J12,D12))=""),"",MAX(0,IF(H12&lt;&gt;"",H12,IF(J12&lt;&gt;"",J12,D12))-S12)),"")</f>
        <v>0</v>
      </c>
      <c r="O12" s="90" t="str">
        <f>IF(OR(AND(G12&lt;&gt;"",NOT(ISNUMBER(G12))),AND(H12&lt;&gt;"",NOT(ISNUMBER(H12))),AND(J12&lt;&gt;"",NOT(ISNUMBER(J12)))),"Not a date",IF(OR(AND(G12&lt;&gt;"",N(G12)&gt;TODAY()),AND(H12&lt;&gt;"",N(H12)&gt;TODAY())),"Date in the future",IF(H12&lt;&gt;"",IF(G12="","Start date needed","✓ Complete"),IF(AND(IF(H12&lt;&gt;"",H12,IF(J12&lt;&gt;"",J12,D12))&lt;&gt;"",S12&lt;&gt;"",IF(H12&lt;&gt;"",H12,IF(J12&lt;&gt;"",J12,D12))&gt;S12,K12="",L12=""),"Reason needed",IF(AND(G12="",OR(N(I12)&gt;0,AND(C12&lt;&gt;"",C12&lt;DATE(2024,6,30),X12=0))),"Start date needed",IF(AND(IF(H12&lt;&gt;"",H12,IF(J12&lt;&gt;"",J12,D12))&lt;&gt;"",IF(H12&lt;&gt;"",H12,IF(J12&lt;&gt;"",J12,D12))&lt;DATE(2024,6,30)),"Finish date needed",IF(X12=1,"✓ Updated","Not changed yet")))))))</f>
        <v>✓ Complete</v>
      </c>
      <c r="P12" t="inlineStr">
        <is>
          <t>Completed</t>
        </is>
      </c>
      <c r="Q12" t="inlineStr"/>
      <c r="R12" s="91" t="n">
        <v>45369</v>
      </c>
      <c r="S12" s="91" t="n">
        <v>45383</v>
      </c>
      <c r="T12" s="91" t="n">
        <v>45369</v>
      </c>
      <c r="U12" s="91" t="n">
        <v>45383</v>
      </c>
      <c r="V12" s="92" t="n"/>
      <c r="W12" s="91" t="n"/>
      <c r="X12">
        <f>IF(OR(G12&lt;&gt;T12,H12&lt;&gt;U12,I12&lt;&gt;V12,J12&lt;&gt;W12,K12&lt;&gt;"",L12&lt;&gt;""),1,0)</f>
        <v>0</v>
      </c>
      <c r="Z12" s="91" t="n">
        <v>45383</v>
      </c>
    </row>
    <row r="13">
      <c r="A13" s="80" t="inlineStr">
        <is>
          <t>A1240</t>
        </is>
      </c>
      <c r="B13" s="80" t="inlineStr">
        <is>
          <t>Build package 24</t>
        </is>
      </c>
      <c r="C13" s="81" t="n">
        <v>45381</v>
      </c>
      <c r="D13" s="81" t="n">
        <v>45451</v>
      </c>
      <c r="E13" s="82" t="n">
        <v>10</v>
      </c>
      <c r="F13" s="83" t="n">
        <v>100</v>
      </c>
      <c r="G13" s="84" t="n">
        <v>45381</v>
      </c>
      <c r="H13" s="84" t="n">
        <v>45451</v>
      </c>
      <c r="I13" s="85" t="n"/>
      <c r="J13" s="84" t="n"/>
      <c r="K13" s="86" t="n"/>
      <c r="L13" s="87" t="n"/>
      <c r="M13" s="88">
        <f>IFERROR(IF(OR(D13="",IF(H13&lt;&gt;"",H13,IF(J13&lt;&gt;"",J13,D13))=""),"",IF(H13&lt;&gt;"",H13,IF(J13&lt;&gt;"",J13,D13))-D13),"")</f>
        <v>0</v>
      </c>
      <c r="N13" s="89">
        <f>IFERROR(IF(OR(S13="",IF(H13&lt;&gt;"",H13,IF(J13&lt;&gt;"",J13,D13))=""),"",MAX(0,IF(H13&lt;&gt;"",H13,IF(J13&lt;&gt;"",J13,D13))-S13)),"")</f>
        <v>0</v>
      </c>
      <c r="O13" s="90" t="str">
        <f>IF(OR(AND(G13&lt;&gt;"",NOT(ISNUMBER(G13))),AND(H13&lt;&gt;"",NOT(ISNUMBER(H13))),AND(J13&lt;&gt;"",NOT(ISNUMBER(J13)))),"Not a date",IF(OR(AND(G13&lt;&gt;"",N(G13)&gt;TODAY()),AND(H13&lt;&gt;"",N(H13)&gt;TODAY())),"Date in the future",IF(H13&lt;&gt;"",IF(G13="","Start date needed","✓ Complete"),IF(AND(IF(H13&lt;&gt;"",H13,IF(J13&lt;&gt;"",J13,D13))&lt;&gt;"",S13&lt;&gt;"",IF(H13&lt;&gt;"",H13,IF(J13&lt;&gt;"",J13,D13))&gt;S13,K13="",L13=""),"Reason needed",IF(AND(G13="",OR(N(I13)&gt;0,AND(C13&lt;&gt;"",C13&lt;DATE(2024,6,30),X13=0))),"Start date needed",IF(AND(IF(H13&lt;&gt;"",H13,IF(J13&lt;&gt;"",J13,D13))&lt;&gt;"",IF(H13&lt;&gt;"",H13,IF(J13&lt;&gt;"",J13,D13))&lt;DATE(2024,6,30)),"Finish date needed",IF(X13=1,"✓ Updated","Not changed yet")))))))</f>
        <v>✓ Complete</v>
      </c>
      <c r="P13" t="inlineStr">
        <is>
          <t>Completed</t>
        </is>
      </c>
      <c r="Q13" t="inlineStr"/>
      <c r="R13" s="91" t="n">
        <v>45381</v>
      </c>
      <c r="S13" s="91" t="n">
        <v>45451</v>
      </c>
      <c r="T13" s="91" t="n">
        <v>45381</v>
      </c>
      <c r="U13" s="91" t="n">
        <v>45451</v>
      </c>
      <c r="V13" s="92" t="n"/>
      <c r="W13" s="91" t="n"/>
      <c r="X13">
        <f>IF(OR(G13&lt;&gt;T13,H13&lt;&gt;U13,I13&lt;&gt;V13,J13&lt;&gt;W13,K13&lt;&gt;"",L13&lt;&gt;""),1,0)</f>
        <v>0</v>
      </c>
      <c r="Z13" s="91" t="n">
        <v>45451</v>
      </c>
    </row>
    <row r="14">
      <c r="A14" s="80" t="inlineStr">
        <is>
          <t>A1260</t>
        </is>
      </c>
      <c r="B14" s="80" t="inlineStr">
        <is>
          <t>Build package 26</t>
        </is>
      </c>
      <c r="C14" s="81" t="n">
        <v>45421</v>
      </c>
      <c r="D14" s="81" t="n">
        <v>45428</v>
      </c>
      <c r="E14" s="82" t="n">
        <v>5</v>
      </c>
      <c r="F14" s="83" t="n">
        <v>100</v>
      </c>
      <c r="G14" s="84" t="n">
        <v>45421</v>
      </c>
      <c r="H14" s="84" t="n">
        <v>45428</v>
      </c>
      <c r="I14" s="85" t="n"/>
      <c r="J14" s="84" t="n"/>
      <c r="K14" s="86" t="n"/>
      <c r="L14" s="87" t="n"/>
      <c r="M14" s="88">
        <f>IFERROR(IF(OR(D14="",IF(H14&lt;&gt;"",H14,IF(J14&lt;&gt;"",J14,D14))=""),"",IF(H14&lt;&gt;"",H14,IF(J14&lt;&gt;"",J14,D14))-D14),"")</f>
        <v>0</v>
      </c>
      <c r="N14" s="89">
        <f>IFERROR(IF(OR(S14="",IF(H14&lt;&gt;"",H14,IF(J14&lt;&gt;"",J14,D14))=""),"",MAX(0,IF(H14&lt;&gt;"",H14,IF(J14&lt;&gt;"",J14,D14))-S14)),"")</f>
        <v>0</v>
      </c>
      <c r="O14" s="90" t="str">
        <f>IF(OR(AND(G14&lt;&gt;"",NOT(ISNUMBER(G14))),AND(H14&lt;&gt;"",NOT(ISNUMBER(H14))),AND(J14&lt;&gt;"",NOT(ISNUMBER(J14)))),"Not a date",IF(OR(AND(G14&lt;&gt;"",N(G14)&gt;TODAY()),AND(H14&lt;&gt;"",N(H14)&gt;TODAY())),"Date in the future",IF(H14&lt;&gt;"",IF(G14="","Start date needed","✓ Complete"),IF(AND(IF(H14&lt;&gt;"",H14,IF(J14&lt;&gt;"",J14,D14))&lt;&gt;"",S14&lt;&gt;"",IF(H14&lt;&gt;"",H14,IF(J14&lt;&gt;"",J14,D14))&gt;S14,K14="",L14=""),"Reason needed",IF(AND(G14="",OR(N(I14)&gt;0,AND(C14&lt;&gt;"",C14&lt;DATE(2024,6,30),X14=0))),"Start date needed",IF(AND(IF(H14&lt;&gt;"",H14,IF(J14&lt;&gt;"",J14,D14))&lt;&gt;"",IF(H14&lt;&gt;"",H14,IF(J14&lt;&gt;"",J14,D14))&lt;DATE(2024,6,30)),"Finish date needed",IF(X14=1,"✓ Updated","Not changed yet")))))))</f>
        <v>✓ Complete</v>
      </c>
      <c r="P14" t="inlineStr">
        <is>
          <t>Completed</t>
        </is>
      </c>
      <c r="Q14" t="inlineStr"/>
      <c r="R14" s="91" t="n">
        <v>45421</v>
      </c>
      <c r="S14" s="91" t="n">
        <v>45428</v>
      </c>
      <c r="T14" s="91" t="n">
        <v>45421</v>
      </c>
      <c r="U14" s="91" t="n">
        <v>45428</v>
      </c>
      <c r="V14" s="92" t="n"/>
      <c r="W14" s="91" t="n"/>
      <c r="X14">
        <f>IF(OR(G14&lt;&gt;T14,H14&lt;&gt;U14,I14&lt;&gt;V14,J14&lt;&gt;W14,K14&lt;&gt;"",L14&lt;&gt;""),1,0)</f>
        <v>0</v>
      </c>
      <c r="Z14" s="91" t="n">
        <v>45428</v>
      </c>
    </row>
    <row r="15">
      <c r="A15" s="80" t="inlineStr">
        <is>
          <t>A1280</t>
        </is>
      </c>
      <c r="B15" s="80" t="inlineStr">
        <is>
          <t>Build package 28</t>
        </is>
      </c>
      <c r="C15" s="81" t="n">
        <v>45426</v>
      </c>
      <c r="D15" s="81" t="n">
        <v>45447</v>
      </c>
      <c r="E15" s="82" t="n">
        <v>1</v>
      </c>
      <c r="F15" s="83" t="n">
        <v>100</v>
      </c>
      <c r="G15" s="84" t="n">
        <v>45426</v>
      </c>
      <c r="H15" s="84" t="n">
        <v>45447</v>
      </c>
      <c r="I15" s="85" t="n"/>
      <c r="J15" s="84" t="n"/>
      <c r="K15" s="86" t="n"/>
      <c r="L15" s="87" t="n"/>
      <c r="M15" s="88">
        <f>IFERROR(IF(OR(D15="",IF(H15&lt;&gt;"",H15,IF(J15&lt;&gt;"",J15,D15))=""),"",IF(H15&lt;&gt;"",H15,IF(J15&lt;&gt;"",J15,D15))-D15),"")</f>
        <v>0</v>
      </c>
      <c r="N15" s="89">
        <f>IFERROR(IF(OR(S15="",IF(H15&lt;&gt;"",H15,IF(J15&lt;&gt;"",J15,D15))=""),"",MAX(0,IF(H15&lt;&gt;"",H15,IF(J15&lt;&gt;"",J15,D15))-S15)),"")</f>
        <v>0</v>
      </c>
      <c r="O15" s="90" t="str">
        <f>IF(OR(AND(G15&lt;&gt;"",NOT(ISNUMBER(G15))),AND(H15&lt;&gt;"",NOT(ISNUMBER(H15))),AND(J15&lt;&gt;"",NOT(ISNUMBER(J15)))),"Not a date",IF(OR(AND(G15&lt;&gt;"",N(G15)&gt;TODAY()),AND(H15&lt;&gt;"",N(H15)&gt;TODAY())),"Date in the future",IF(H15&lt;&gt;"",IF(G15="","Start date needed","✓ Complete"),IF(AND(IF(H15&lt;&gt;"",H15,IF(J15&lt;&gt;"",J15,D15))&lt;&gt;"",S15&lt;&gt;"",IF(H15&lt;&gt;"",H15,IF(J15&lt;&gt;"",J15,D15))&gt;S15,K15="",L15=""),"Reason needed",IF(AND(G15="",OR(N(I15)&gt;0,AND(C15&lt;&gt;"",C15&lt;DATE(2024,6,30),X15=0))),"Start date needed",IF(AND(IF(H15&lt;&gt;"",H15,IF(J15&lt;&gt;"",J15,D15))&lt;&gt;"",IF(H15&lt;&gt;"",H15,IF(J15&lt;&gt;"",J15,D15))&lt;DATE(2024,6,30)),"Finish date needed",IF(X15=1,"✓ Updated","Not changed yet")))))))</f>
        <v>✓ Complete</v>
      </c>
      <c r="P15" t="inlineStr">
        <is>
          <t>Completed</t>
        </is>
      </c>
      <c r="Q15" t="inlineStr"/>
      <c r="R15" s="91" t="n">
        <v>45426</v>
      </c>
      <c r="S15" s="91" t="n">
        <v>45447</v>
      </c>
      <c r="T15" s="91" t="n">
        <v>45426</v>
      </c>
      <c r="U15" s="91" t="n">
        <v>45447</v>
      </c>
      <c r="V15" s="92" t="n"/>
      <c r="W15" s="91" t="n"/>
      <c r="X15">
        <f>IF(OR(G15&lt;&gt;T15,H15&lt;&gt;U15,I15&lt;&gt;V15,J15&lt;&gt;W15,K15&lt;&gt;"",L15&lt;&gt;""),1,0)</f>
        <v>0</v>
      </c>
      <c r="Z15" s="91" t="n">
        <v>45447</v>
      </c>
    </row>
    <row r="16">
      <c r="A16" s="80" t="inlineStr">
        <is>
          <t>A1300</t>
        </is>
      </c>
      <c r="B16" s="80" t="inlineStr">
        <is>
          <t>Build package 30</t>
        </is>
      </c>
      <c r="C16" s="81" t="n">
        <v>45437</v>
      </c>
      <c r="D16" s="81" t="n">
        <v>45451</v>
      </c>
      <c r="E16" s="82" t="n">
        <v>-3</v>
      </c>
      <c r="F16" s="83" t="n">
        <v>100</v>
      </c>
      <c r="G16" s="84" t="n">
        <v>45437</v>
      </c>
      <c r="H16" s="84" t="n">
        <v>45451</v>
      </c>
      <c r="I16" s="85" t="n"/>
      <c r="J16" s="84" t="n"/>
      <c r="K16" s="86" t="n"/>
      <c r="L16" s="87" t="n"/>
      <c r="M16" s="88">
        <f>IFERROR(IF(OR(D16="",IF(H16&lt;&gt;"",H16,IF(J16&lt;&gt;"",J16,D16))=""),"",IF(H16&lt;&gt;"",H16,IF(J16&lt;&gt;"",J16,D16))-D16),"")</f>
        <v>0</v>
      </c>
      <c r="N16" s="89">
        <f>IFERROR(IF(OR(S16="",IF(H16&lt;&gt;"",H16,IF(J16&lt;&gt;"",J16,D16))=""),"",MAX(0,IF(H16&lt;&gt;"",H16,IF(J16&lt;&gt;"",J16,D16))-S16)),"")</f>
        <v>0</v>
      </c>
      <c r="O16" s="90" t="str">
        <f>IF(OR(AND(G16&lt;&gt;"",NOT(ISNUMBER(G16))),AND(H16&lt;&gt;"",NOT(ISNUMBER(H16))),AND(J16&lt;&gt;"",NOT(ISNUMBER(J16)))),"Not a date",IF(OR(AND(G16&lt;&gt;"",N(G16)&gt;TODAY()),AND(H16&lt;&gt;"",N(H16)&gt;TODAY())),"Date in the future",IF(H16&lt;&gt;"",IF(G16="","Start date needed","✓ Complete"),IF(AND(IF(H16&lt;&gt;"",H16,IF(J16&lt;&gt;"",J16,D16))&lt;&gt;"",S16&lt;&gt;"",IF(H16&lt;&gt;"",H16,IF(J16&lt;&gt;"",J16,D16))&gt;S16,K16="",L16=""),"Reason needed",IF(AND(G16="",OR(N(I16)&gt;0,AND(C16&lt;&gt;"",C16&lt;DATE(2024,6,30),X16=0))),"Start date needed",IF(AND(IF(H16&lt;&gt;"",H16,IF(J16&lt;&gt;"",J16,D16))&lt;&gt;"",IF(H16&lt;&gt;"",H16,IF(J16&lt;&gt;"",J16,D16))&lt;DATE(2024,6,30)),"Finish date needed",IF(X16=1,"✓ Updated","Not changed yet")))))))</f>
        <v>✓ Complete</v>
      </c>
      <c r="P16" t="inlineStr">
        <is>
          <t>Completed</t>
        </is>
      </c>
      <c r="Q16" t="inlineStr"/>
      <c r="R16" s="91" t="n">
        <v>45437</v>
      </c>
      <c r="S16" s="91" t="n">
        <v>45451</v>
      </c>
      <c r="T16" s="91" t="n">
        <v>45437</v>
      </c>
      <c r="U16" s="91" t="n">
        <v>45451</v>
      </c>
      <c r="V16" s="92" t="n"/>
      <c r="W16" s="91" t="n"/>
      <c r="X16">
        <f>IF(OR(G16&lt;&gt;T16,H16&lt;&gt;U16,I16&lt;&gt;V16,J16&lt;&gt;W16,K16&lt;&gt;"",L16&lt;&gt;""),1,0)</f>
        <v>0</v>
      </c>
      <c r="Z16" s="91" t="n">
        <v>45451</v>
      </c>
    </row>
    <row r="17">
      <c r="A17" s="80" t="inlineStr">
        <is>
          <t>A1320</t>
        </is>
      </c>
      <c r="B17" s="80" t="inlineStr">
        <is>
          <t>Build package 32</t>
        </is>
      </c>
      <c r="C17" s="81" t="n">
        <v>45447</v>
      </c>
      <c r="D17" s="81" t="n">
        <v>45454</v>
      </c>
      <c r="E17" s="82" t="n">
        <v>0</v>
      </c>
      <c r="F17" s="83" t="n">
        <v>80</v>
      </c>
      <c r="G17" s="84" t="n">
        <v>45447</v>
      </c>
      <c r="H17" s="84" t="n"/>
      <c r="I17" s="85" t="n"/>
      <c r="J17" s="84" t="n"/>
      <c r="K17" s="86" t="n"/>
      <c r="L17" s="87" t="n"/>
      <c r="M17" s="88">
        <f>IFERROR(IF(OR(D17="",IF(H17&lt;&gt;"",H17,IF(J17&lt;&gt;"",J17,D17))=""),"",IF(H17&lt;&gt;"",H17,IF(J17&lt;&gt;"",J17,D17))-D17),"")</f>
        <v>0</v>
      </c>
      <c r="N17" s="89">
        <f>IFERROR(IF(OR(S17="",IF(H17&lt;&gt;"",H17,IF(J17&lt;&gt;"",J17,D17))=""),"",MAX(0,IF(H17&lt;&gt;"",H17,IF(J17&lt;&gt;"",J17,D17))-S17)),"")</f>
        <v>0</v>
      </c>
      <c r="O17" s="90" t="str">
        <f>IF(OR(AND(G17&lt;&gt;"",NOT(ISNUMBER(G17))),AND(H17&lt;&gt;"",NOT(ISNUMBER(H17))),AND(J17&lt;&gt;"",NOT(ISNUMBER(J17)))),"Not a date",IF(OR(AND(G17&lt;&gt;"",N(G17)&gt;TODAY()),AND(H17&lt;&gt;"",N(H17)&gt;TODAY())),"Date in the future",IF(H17&lt;&gt;"",IF(G17="","Start date needed","✓ Complete"),IF(AND(IF(H17&lt;&gt;"",H17,IF(J17&lt;&gt;"",J17,D17))&lt;&gt;"",S17&lt;&gt;"",IF(H17&lt;&gt;"",H17,IF(J17&lt;&gt;"",J17,D17))&gt;S17,K17="",L17=""),"Reason needed",IF(AND(G17="",OR(N(I17)&gt;0,AND(C17&lt;&gt;"",C17&lt;DATE(2024,6,30),X17=0))),"Start date needed",IF(AND(IF(H17&lt;&gt;"",H17,IF(J17&lt;&gt;"",J17,D17))&lt;&gt;"",IF(H17&lt;&gt;"",H17,IF(J17&lt;&gt;"",J17,D17))&lt;DATE(2024,6,30)),"Finish date needed",IF(X17=1,"✓ Updated","Not changed yet")))))))</f>
        <v>Finish date needed</v>
      </c>
      <c r="P17" t="inlineStr">
        <is>
          <t>In Progress</t>
        </is>
      </c>
      <c r="Q17" t="inlineStr">
        <is>
          <t>Yes</t>
        </is>
      </c>
      <c r="R17" s="91" t="n">
        <v>45447</v>
      </c>
      <c r="S17" s="91" t="n">
        <v>45454</v>
      </c>
      <c r="T17" s="91" t="n">
        <v>45447</v>
      </c>
      <c r="U17" s="91" t="n"/>
      <c r="V17" s="92" t="n"/>
      <c r="W17" s="91" t="n"/>
      <c r="X17">
        <f>IF(OR(G17&lt;&gt;T17,H17&lt;&gt;U17,I17&lt;&gt;V17,J17&lt;&gt;W17,K17&lt;&gt;"",L17&lt;&gt;""),1,0)</f>
        <v>0</v>
      </c>
      <c r="Z17" s="91" t="n">
        <v>45454</v>
      </c>
    </row>
    <row r="18">
      <c r="A18" s="80" t="inlineStr">
        <is>
          <t>A1340</t>
        </is>
      </c>
      <c r="B18" s="80" t="inlineStr">
        <is>
          <t>Build package 34</t>
        </is>
      </c>
      <c r="C18" s="81" t="n">
        <v>45451</v>
      </c>
      <c r="D18" s="81" t="n">
        <v>45455</v>
      </c>
      <c r="E18" s="82" t="n">
        <v>0</v>
      </c>
      <c r="F18" s="83" t="n">
        <v>40</v>
      </c>
      <c r="G18" s="84" t="n">
        <v>45451</v>
      </c>
      <c r="H18" s="84" t="n"/>
      <c r="I18" s="85" t="n"/>
      <c r="J18" s="84" t="n"/>
      <c r="K18" s="86" t="n"/>
      <c r="L18" s="87" t="n"/>
      <c r="M18" s="88">
        <f>IFERROR(IF(OR(D18="",IF(H18&lt;&gt;"",H18,IF(J18&lt;&gt;"",J18,D18))=""),"",IF(H18&lt;&gt;"",H18,IF(J18&lt;&gt;"",J18,D18))-D18),"")</f>
        <v>0</v>
      </c>
      <c r="N18" s="89">
        <f>IFERROR(IF(OR(S18="",IF(H18&lt;&gt;"",H18,IF(J18&lt;&gt;"",J18,D18))=""),"",MAX(0,IF(H18&lt;&gt;"",H18,IF(J18&lt;&gt;"",J18,D18))-S18)),"")</f>
        <v>0</v>
      </c>
      <c r="O18" s="90" t="str">
        <f>IF(OR(AND(G18&lt;&gt;"",NOT(ISNUMBER(G18))),AND(H18&lt;&gt;"",NOT(ISNUMBER(H18))),AND(J18&lt;&gt;"",NOT(ISNUMBER(J18)))),"Not a date",IF(OR(AND(G18&lt;&gt;"",N(G18)&gt;TODAY()),AND(H18&lt;&gt;"",N(H18)&gt;TODAY())),"Date in the future",IF(H18&lt;&gt;"",IF(G18="","Start date needed","✓ Complete"),IF(AND(IF(H18&lt;&gt;"",H18,IF(J18&lt;&gt;"",J18,D18))&lt;&gt;"",S18&lt;&gt;"",IF(H18&lt;&gt;"",H18,IF(J18&lt;&gt;"",J18,D18))&gt;S18,K18="",L18=""),"Reason needed",IF(AND(G18="",OR(N(I18)&gt;0,AND(C18&lt;&gt;"",C18&lt;DATE(2024,6,30),X18=0))),"Start date needed",IF(AND(IF(H18&lt;&gt;"",H18,IF(J18&lt;&gt;"",J18,D18))&lt;&gt;"",IF(H18&lt;&gt;"",H18,IF(J18&lt;&gt;"",J18,D18))&lt;DATE(2024,6,30)),"Finish date needed",IF(X18=1,"✓ Updated","Not changed yet")))))))</f>
        <v>Finish date needed</v>
      </c>
      <c r="P18" t="inlineStr">
        <is>
          <t>In Progress</t>
        </is>
      </c>
      <c r="Q18" t="inlineStr">
        <is>
          <t>Yes</t>
        </is>
      </c>
      <c r="R18" s="91" t="n">
        <v>45451</v>
      </c>
      <c r="S18" s="91" t="n">
        <v>45455</v>
      </c>
      <c r="T18" s="91" t="n">
        <v>45451</v>
      </c>
      <c r="U18" s="91" t="n"/>
      <c r="V18" s="92" t="n"/>
      <c r="W18" s="91" t="n"/>
      <c r="X18">
        <f>IF(OR(G18&lt;&gt;T18,H18&lt;&gt;U18,I18&lt;&gt;V18,J18&lt;&gt;W18,K18&lt;&gt;"",L18&lt;&gt;""),1,0)</f>
        <v>0</v>
      </c>
      <c r="Z18" s="91" t="n">
        <v>45455</v>
      </c>
    </row>
    <row r="19">
      <c r="A19" s="80" t="inlineStr">
        <is>
          <t>A1360</t>
        </is>
      </c>
      <c r="B19" s="80" t="inlineStr">
        <is>
          <t>Build package 36</t>
        </is>
      </c>
      <c r="C19" s="81" t="n">
        <v>45458</v>
      </c>
      <c r="D19" s="81" t="n">
        <v>45479</v>
      </c>
      <c r="E19" s="82" t="n">
        <v>10</v>
      </c>
      <c r="F19" s="83" t="n">
        <v>10</v>
      </c>
      <c r="G19" s="84" t="n">
        <v>45458</v>
      </c>
      <c r="H19" s="84" t="n"/>
      <c r="I19" s="85" t="n"/>
      <c r="J19" s="84" t="n"/>
      <c r="K19" s="86" t="n"/>
      <c r="L19" s="87" t="n"/>
      <c r="M19" s="88">
        <f>IFERROR(IF(OR(D19="",IF(H19&lt;&gt;"",H19,IF(J19&lt;&gt;"",J19,D19))=""),"",IF(H19&lt;&gt;"",H19,IF(J19&lt;&gt;"",J19,D19))-D19),"")</f>
        <v>0</v>
      </c>
      <c r="N19" s="89">
        <f>IFERROR(IF(OR(S19="",IF(H19&lt;&gt;"",H19,IF(J19&lt;&gt;"",J19,D19))=""),"",MAX(0,IF(H19&lt;&gt;"",H19,IF(J19&lt;&gt;"",J19,D19))-S19)),"")</f>
        <v>0</v>
      </c>
      <c r="O19" s="90" t="str">
        <f>IF(OR(AND(G19&lt;&gt;"",NOT(ISNUMBER(G19))),AND(H19&lt;&gt;"",NOT(ISNUMBER(H19))),AND(J19&lt;&gt;"",NOT(ISNUMBER(J19)))),"Not a date",IF(OR(AND(G19&lt;&gt;"",N(G19)&gt;TODAY()),AND(H19&lt;&gt;"",N(H19)&gt;TODAY())),"Date in the future",IF(H19&lt;&gt;"",IF(G19="","Start date needed","✓ Complete"),IF(AND(IF(H19&lt;&gt;"",H19,IF(J19&lt;&gt;"",J19,D19))&lt;&gt;"",S19&lt;&gt;"",IF(H19&lt;&gt;"",H19,IF(J19&lt;&gt;"",J19,D19))&gt;S19,K19="",L19=""),"Reason needed",IF(AND(G19="",OR(N(I19)&gt;0,AND(C19&lt;&gt;"",C19&lt;DATE(2024,6,30),X19=0))),"Start date needed",IF(AND(IF(H19&lt;&gt;"",H19,IF(J19&lt;&gt;"",J19,D19))&lt;&gt;"",IF(H19&lt;&gt;"",H19,IF(J19&lt;&gt;"",J19,D19))&lt;DATE(2024,6,30)),"Finish date needed",IF(X19=1,"✓ Updated","Not changed yet")))))))</f>
        <v>Not changed yet</v>
      </c>
      <c r="P19" t="inlineStr">
        <is>
          <t>In Progress</t>
        </is>
      </c>
      <c r="Q19" t="inlineStr"/>
      <c r="R19" s="91" t="n">
        <v>45458</v>
      </c>
      <c r="S19" s="91" t="n">
        <v>45479</v>
      </c>
      <c r="T19" s="91" t="n">
        <v>45458</v>
      </c>
      <c r="U19" s="91" t="n"/>
      <c r="V19" s="92" t="n"/>
      <c r="W19" s="91" t="n"/>
      <c r="X19">
        <f>IF(OR(G19&lt;&gt;T19,H19&lt;&gt;U19,I19&lt;&gt;V19,J19&lt;&gt;W19,K19&lt;&gt;"",L19&lt;&gt;""),1,0)</f>
        <v>0</v>
      </c>
      <c r="Z19" s="91" t="n">
        <v>45479</v>
      </c>
    </row>
    <row r="20">
      <c r="A20" s="80" t="inlineStr">
        <is>
          <t>A1380</t>
        </is>
      </c>
      <c r="B20" s="80" t="inlineStr">
        <is>
          <t>Build package 38</t>
        </is>
      </c>
      <c r="C20" s="81" t="n">
        <v>45471</v>
      </c>
      <c r="D20" s="81" t="n">
        <v>45485</v>
      </c>
      <c r="E20" s="82" t="n">
        <v>0</v>
      </c>
      <c r="F20" s="83" t="n">
        <v>60</v>
      </c>
      <c r="G20" s="84" t="n">
        <v>45471</v>
      </c>
      <c r="H20" s="84" t="n"/>
      <c r="I20" s="85" t="n"/>
      <c r="J20" s="84" t="n"/>
      <c r="K20" s="86" t="n"/>
      <c r="L20" s="87" t="n"/>
      <c r="M20" s="88">
        <f>IFERROR(IF(OR(D20="",IF(H20&lt;&gt;"",H20,IF(J20&lt;&gt;"",J20,D20))=""),"",IF(H20&lt;&gt;"",H20,IF(J20&lt;&gt;"",J20,D20))-D20),"")</f>
        <v>0</v>
      </c>
      <c r="N20" s="89">
        <f>IFERROR(IF(OR(S20="",IF(H20&lt;&gt;"",H20,IF(J20&lt;&gt;"",J20,D20))=""),"",MAX(0,IF(H20&lt;&gt;"",H20,IF(J20&lt;&gt;"",J20,D20))-S20)),"")</f>
        <v>0</v>
      </c>
      <c r="O20" s="90" t="str">
        <f>IF(OR(AND(G20&lt;&gt;"",NOT(ISNUMBER(G20))),AND(H20&lt;&gt;"",NOT(ISNUMBER(H20))),AND(J20&lt;&gt;"",NOT(ISNUMBER(J20)))),"Not a date",IF(OR(AND(G20&lt;&gt;"",N(G20)&gt;TODAY()),AND(H20&lt;&gt;"",N(H20)&gt;TODAY())),"Date in the future",IF(H20&lt;&gt;"",IF(G20="","Start date needed","✓ Complete"),IF(AND(IF(H20&lt;&gt;"",H20,IF(J20&lt;&gt;"",J20,D20))&lt;&gt;"",S20&lt;&gt;"",IF(H20&lt;&gt;"",H20,IF(J20&lt;&gt;"",J20,D20))&gt;S20,K20="",L20=""),"Reason needed",IF(AND(G20="",OR(N(I20)&gt;0,AND(C20&lt;&gt;"",C20&lt;DATE(2024,6,30),X20=0))),"Start date needed",IF(AND(IF(H20&lt;&gt;"",H20,IF(J20&lt;&gt;"",J20,D20))&lt;&gt;"",IF(H20&lt;&gt;"",H20,IF(J20&lt;&gt;"",J20,D20))&lt;DATE(2024,6,30)),"Finish date needed",IF(X20=1,"✓ Updated","Not changed yet")))))))</f>
        <v>Not changed yet</v>
      </c>
      <c r="P20" t="inlineStr">
        <is>
          <t>In Progress</t>
        </is>
      </c>
      <c r="Q20" t="inlineStr">
        <is>
          <t>Yes</t>
        </is>
      </c>
      <c r="R20" s="91" t="n">
        <v>45471</v>
      </c>
      <c r="S20" s="91" t="n">
        <v>45485</v>
      </c>
      <c r="T20" s="91" t="n">
        <v>45471</v>
      </c>
      <c r="U20" s="91" t="n"/>
      <c r="V20" s="92" t="n"/>
      <c r="W20" s="91" t="n"/>
      <c r="X20">
        <f>IF(OR(G20&lt;&gt;T20,H20&lt;&gt;U20,I20&lt;&gt;V20,J20&lt;&gt;W20,K20&lt;&gt;"",L20&lt;&gt;""),1,0)</f>
        <v>0</v>
      </c>
      <c r="Z20" s="91" t="n">
        <v>45485</v>
      </c>
    </row>
    <row r="21">
      <c r="A21" s="80" t="inlineStr">
        <is>
          <t>A1400</t>
        </is>
      </c>
      <c r="B21" s="80" t="inlineStr">
        <is>
          <t>Build package 40</t>
        </is>
      </c>
      <c r="C21" s="81" t="n">
        <v>45513</v>
      </c>
      <c r="D21" s="81" t="n">
        <v>45520</v>
      </c>
      <c r="E21" s="82" t="n">
        <v>-3</v>
      </c>
      <c r="F21" s="83" t="n">
        <v>0</v>
      </c>
      <c r="G21" s="84" t="n"/>
      <c r="H21" s="84" t="n"/>
      <c r="I21" s="85" t="n"/>
      <c r="J21" s="84" t="n"/>
      <c r="K21" s="86" t="n"/>
      <c r="L21" s="87" t="n"/>
      <c r="M21" s="88">
        <f>IFERROR(IF(OR(D21="",IF(H21&lt;&gt;"",H21,IF(J21&lt;&gt;"",J21,D21))=""),"",IF(H21&lt;&gt;"",H21,IF(J21&lt;&gt;"",J21,D21))-D21),"")</f>
        <v>0</v>
      </c>
      <c r="N21" s="89">
        <f>IFERROR(IF(OR(S21="",IF(H21&lt;&gt;"",H21,IF(J21&lt;&gt;"",J21,D21))=""),"",MAX(0,IF(H21&lt;&gt;"",H21,IF(J21&lt;&gt;"",J21,D21))-S21)),"")</f>
        <v>0</v>
      </c>
      <c r="O21" s="90" t="str">
        <f>IF(OR(AND(G21&lt;&gt;"",NOT(ISNUMBER(G21))),AND(H21&lt;&gt;"",NOT(ISNUMBER(H21))),AND(J21&lt;&gt;"",NOT(ISNUMBER(J21)))),"Not a date",IF(OR(AND(G21&lt;&gt;"",N(G21)&gt;TODAY()),AND(H21&lt;&gt;"",N(H21)&gt;TODAY())),"Date in the future",IF(H21&lt;&gt;"",IF(G21="","Start date needed","✓ Complete"),IF(AND(IF(H21&lt;&gt;"",H21,IF(J21&lt;&gt;"",J21,D21))&lt;&gt;"",S21&lt;&gt;"",IF(H21&lt;&gt;"",H21,IF(J21&lt;&gt;"",J21,D21))&gt;S21,K21="",L21=""),"Reason needed",IF(AND(G21="",OR(N(I21)&gt;0,AND(C21&lt;&gt;"",C21&lt;DATE(2024,6,30),X21=0))),"Start date needed",IF(AND(IF(H21&lt;&gt;"",H21,IF(J21&lt;&gt;"",J21,D21))&lt;&gt;"",IF(H21&lt;&gt;"",H21,IF(J21&lt;&gt;"",J21,D21))&lt;DATE(2024,6,30)),"Finish date needed",IF(X21=1,"✓ Updated","Not changed yet")))))))</f>
        <v>Not changed yet</v>
      </c>
      <c r="P21" t="inlineStr">
        <is>
          <t>Not Started</t>
        </is>
      </c>
      <c r="Q21" t="inlineStr">
        <is>
          <t>Yes</t>
        </is>
      </c>
      <c r="R21" s="91" t="n">
        <v>45513</v>
      </c>
      <c r="S21" s="91" t="n">
        <v>45520</v>
      </c>
      <c r="T21" s="91" t="n"/>
      <c r="U21" s="91" t="n"/>
      <c r="V21" s="92" t="n"/>
      <c r="W21" s="91" t="n"/>
      <c r="X21">
        <f>IF(OR(G21&lt;&gt;T21,H21&lt;&gt;U21,I21&lt;&gt;V21,J21&lt;&gt;W21,K21&lt;&gt;"",L21&lt;&gt;""),1,0)</f>
        <v>0</v>
      </c>
      <c r="Z21" s="91" t="n">
        <v>45520</v>
      </c>
    </row>
    <row r="22">
      <c r="A22" s="80" t="inlineStr">
        <is>
          <t>A1420</t>
        </is>
      </c>
      <c r="B22" s="80" t="inlineStr">
        <is>
          <t>Build package 42</t>
        </is>
      </c>
      <c r="C22" s="81" t="n">
        <v>45526</v>
      </c>
      <c r="D22" s="81" t="n">
        <v>45529</v>
      </c>
      <c r="E22" s="82" t="n">
        <v>5</v>
      </c>
      <c r="F22" s="83" t="n">
        <v>0</v>
      </c>
      <c r="G22" s="84" t="n"/>
      <c r="H22" s="84" t="n"/>
      <c r="I22" s="85" t="n"/>
      <c r="J22" s="84" t="n"/>
      <c r="K22" s="86" t="n"/>
      <c r="L22" s="87" t="n"/>
      <c r="M22" s="88">
        <f>IFERROR(IF(OR(D22="",IF(H22&lt;&gt;"",H22,IF(J22&lt;&gt;"",J22,D22))=""),"",IF(H22&lt;&gt;"",H22,IF(J22&lt;&gt;"",J22,D22))-D22),"")</f>
        <v>0</v>
      </c>
      <c r="N22" s="89">
        <f>IFERROR(IF(OR(S22="",IF(H22&lt;&gt;"",H22,IF(J22&lt;&gt;"",J22,D22))=""),"",MAX(0,IF(H22&lt;&gt;"",H22,IF(J22&lt;&gt;"",J22,D22))-S22)),"")</f>
        <v>0</v>
      </c>
      <c r="O22" s="90" t="str">
        <f>IF(OR(AND(G22&lt;&gt;"",NOT(ISNUMBER(G22))),AND(H22&lt;&gt;"",NOT(ISNUMBER(H22))),AND(J22&lt;&gt;"",NOT(ISNUMBER(J22)))),"Not a date",IF(OR(AND(G22&lt;&gt;"",N(G22)&gt;TODAY()),AND(H22&lt;&gt;"",N(H22)&gt;TODAY())),"Date in the future",IF(H22&lt;&gt;"",IF(G22="","Start date needed","✓ Complete"),IF(AND(IF(H22&lt;&gt;"",H22,IF(J22&lt;&gt;"",J22,D22))&lt;&gt;"",S22&lt;&gt;"",IF(H22&lt;&gt;"",H22,IF(J22&lt;&gt;"",J22,D22))&gt;S22,K22="",L22=""),"Reason needed",IF(AND(G22="",OR(N(I22)&gt;0,AND(C22&lt;&gt;"",C22&lt;DATE(2024,6,30),X22=0))),"Start date needed",IF(AND(IF(H22&lt;&gt;"",H22,IF(J22&lt;&gt;"",J22,D22))&lt;&gt;"",IF(H22&lt;&gt;"",H22,IF(J22&lt;&gt;"",J22,D22))&lt;DATE(2024,6,30)),"Finish date needed",IF(X22=1,"✓ Updated","Not changed yet")))))))</f>
        <v>Not changed yet</v>
      </c>
      <c r="P22" t="inlineStr">
        <is>
          <t>Not Started</t>
        </is>
      </c>
      <c r="Q22" t="inlineStr"/>
      <c r="R22" s="91" t="n">
        <v>45526</v>
      </c>
      <c r="S22" s="91" t="n">
        <v>45529</v>
      </c>
      <c r="T22" s="91" t="n"/>
      <c r="U22" s="91" t="n"/>
      <c r="V22" s="92" t="n"/>
      <c r="W22" s="91" t="n"/>
      <c r="X22">
        <f>IF(OR(G22&lt;&gt;T22,H22&lt;&gt;U22,I22&lt;&gt;V22,J22&lt;&gt;W22,K22&lt;&gt;"",L22&lt;&gt;""),1,0)</f>
        <v>0</v>
      </c>
      <c r="Z22" s="91" t="n">
        <v>45529</v>
      </c>
    </row>
    <row r="23">
      <c r="A23" s="80" t="inlineStr">
        <is>
          <t>A1440</t>
        </is>
      </c>
      <c r="B23" s="80" t="inlineStr">
        <is>
          <t>Build package 44</t>
        </is>
      </c>
      <c r="C23" s="81" t="n">
        <v>45537</v>
      </c>
      <c r="D23" s="81" t="n">
        <v>45544</v>
      </c>
      <c r="E23" s="82" t="n">
        <v>50</v>
      </c>
      <c r="F23" s="83" t="n">
        <v>0</v>
      </c>
      <c r="G23" s="84" t="n"/>
      <c r="H23" s="84" t="n"/>
      <c r="I23" s="85" t="n"/>
      <c r="J23" s="84" t="n"/>
      <c r="K23" s="86" t="n"/>
      <c r="L23" s="87" t="n"/>
      <c r="M23" s="88">
        <f>IFERROR(IF(OR(D23="",IF(H23&lt;&gt;"",H23,IF(J23&lt;&gt;"",J23,D23))=""),"",IF(H23&lt;&gt;"",H23,IF(J23&lt;&gt;"",J23,D23))-D23),"")</f>
        <v>0</v>
      </c>
      <c r="N23" s="89">
        <f>IFERROR(IF(OR(S23="",IF(H23&lt;&gt;"",H23,IF(J23&lt;&gt;"",J23,D23))=""),"",MAX(0,IF(H23&lt;&gt;"",H23,IF(J23&lt;&gt;"",J23,D23))-S23)),"")</f>
        <v>0</v>
      </c>
      <c r="O23" s="90" t="str">
        <f>IF(OR(AND(G23&lt;&gt;"",NOT(ISNUMBER(G23))),AND(H23&lt;&gt;"",NOT(ISNUMBER(H23))),AND(J23&lt;&gt;"",NOT(ISNUMBER(J23)))),"Not a date",IF(OR(AND(G23&lt;&gt;"",N(G23)&gt;TODAY()),AND(H23&lt;&gt;"",N(H23)&gt;TODAY())),"Date in the future",IF(H23&lt;&gt;"",IF(G23="","Start date needed","✓ Complete"),IF(AND(IF(H23&lt;&gt;"",H23,IF(J23&lt;&gt;"",J23,D23))&lt;&gt;"",S23&lt;&gt;"",IF(H23&lt;&gt;"",H23,IF(J23&lt;&gt;"",J23,D23))&gt;S23,K23="",L23=""),"Reason needed",IF(AND(G23="",OR(N(I23)&gt;0,AND(C23&lt;&gt;"",C23&lt;DATE(2024,6,30),X23=0))),"Start date needed",IF(AND(IF(H23&lt;&gt;"",H23,IF(J23&lt;&gt;"",J23,D23))&lt;&gt;"",IF(H23&lt;&gt;"",H23,IF(J23&lt;&gt;"",J23,D23))&lt;DATE(2024,6,30)),"Finish date needed",IF(X23=1,"✓ Updated","Not changed yet")))))))</f>
        <v>Not changed yet</v>
      </c>
      <c r="P23" t="inlineStr">
        <is>
          <t>Not Started</t>
        </is>
      </c>
      <c r="Q23" t="inlineStr"/>
      <c r="R23" s="91" t="n">
        <v>45537</v>
      </c>
      <c r="S23" s="91" t="n">
        <v>45544</v>
      </c>
      <c r="T23" s="91" t="n"/>
      <c r="U23" s="91" t="n"/>
      <c r="V23" s="92" t="n"/>
      <c r="W23" s="91" t="n"/>
      <c r="X23">
        <f>IF(OR(G23&lt;&gt;T23,H23&lt;&gt;U23,I23&lt;&gt;V23,J23&lt;&gt;W23,K23&lt;&gt;"",L23&lt;&gt;""),1,0)</f>
        <v>0</v>
      </c>
      <c r="Z23" s="91" t="n">
        <v>45544</v>
      </c>
    </row>
    <row r="24">
      <c r="A24" s="80" t="inlineStr">
        <is>
          <t>A1460</t>
        </is>
      </c>
      <c r="B24" s="80" t="inlineStr">
        <is>
          <t>Build package 46</t>
        </is>
      </c>
      <c r="C24" s="81" t="n">
        <v>45550</v>
      </c>
      <c r="D24" s="81" t="n">
        <v>45553</v>
      </c>
      <c r="E24" s="82" t="n">
        <v>-3</v>
      </c>
      <c r="F24" s="83" t="n">
        <v>0</v>
      </c>
      <c r="G24" s="84" t="n"/>
      <c r="H24" s="84" t="n"/>
      <c r="I24" s="85" t="n"/>
      <c r="J24" s="84" t="n"/>
      <c r="K24" s="86" t="n"/>
      <c r="L24" s="87" t="n"/>
      <c r="M24" s="88">
        <f>IFERROR(IF(OR(D24="",IF(H24&lt;&gt;"",H24,IF(J24&lt;&gt;"",J24,D24))=""),"",IF(H24&lt;&gt;"",H24,IF(J24&lt;&gt;"",J24,D24))-D24),"")</f>
        <v>0</v>
      </c>
      <c r="N24" s="89">
        <f>IFERROR(IF(OR(S24="",IF(H24&lt;&gt;"",H24,IF(J24&lt;&gt;"",J24,D24))=""),"",MAX(0,IF(H24&lt;&gt;"",H24,IF(J24&lt;&gt;"",J24,D24))-S24)),"")</f>
        <v>0</v>
      </c>
      <c r="O24" s="90" t="str">
        <f>IF(OR(AND(G24&lt;&gt;"",NOT(ISNUMBER(G24))),AND(H24&lt;&gt;"",NOT(ISNUMBER(H24))),AND(J24&lt;&gt;"",NOT(ISNUMBER(J24)))),"Not a date",IF(OR(AND(G24&lt;&gt;"",N(G24)&gt;TODAY()),AND(H24&lt;&gt;"",N(H24)&gt;TODAY())),"Date in the future",IF(H24&lt;&gt;"",IF(G24="","Start date needed","✓ Complete"),IF(AND(IF(H24&lt;&gt;"",H24,IF(J24&lt;&gt;"",J24,D24))&lt;&gt;"",S24&lt;&gt;"",IF(H24&lt;&gt;"",H24,IF(J24&lt;&gt;"",J24,D24))&gt;S24,K24="",L24=""),"Reason needed",IF(AND(G24="",OR(N(I24)&gt;0,AND(C24&lt;&gt;"",C24&lt;DATE(2024,6,30),X24=0))),"Start date needed",IF(AND(IF(H24&lt;&gt;"",H24,IF(J24&lt;&gt;"",J24,D24))&lt;&gt;"",IF(H24&lt;&gt;"",H24,IF(J24&lt;&gt;"",J24,D24))&lt;DATE(2024,6,30)),"Finish date needed",IF(X24=1,"✓ Updated","Not changed yet")))))))</f>
        <v>Not changed yet</v>
      </c>
      <c r="P24" t="inlineStr">
        <is>
          <t>Not Started</t>
        </is>
      </c>
      <c r="Q24" t="inlineStr">
        <is>
          <t>Yes</t>
        </is>
      </c>
      <c r="R24" s="91" t="n">
        <v>45550</v>
      </c>
      <c r="S24" s="91" t="n">
        <v>45553</v>
      </c>
      <c r="T24" s="91" t="n"/>
      <c r="U24" s="91" t="n"/>
      <c r="V24" s="92" t="n"/>
      <c r="W24" s="91" t="n"/>
      <c r="X24">
        <f>IF(OR(G24&lt;&gt;T24,H24&lt;&gt;U24,I24&lt;&gt;V24,J24&lt;&gt;W24,K24&lt;&gt;"",L24&lt;&gt;""),1,0)</f>
        <v>0</v>
      </c>
      <c r="Z24" s="91" t="n">
        <v>45553</v>
      </c>
    </row>
    <row r="25">
      <c r="A25" s="80" t="inlineStr">
        <is>
          <t>A1480</t>
        </is>
      </c>
      <c r="B25" s="80" t="inlineStr">
        <is>
          <t>Build package 48</t>
        </is>
      </c>
      <c r="C25" s="81" t="n">
        <v>45554</v>
      </c>
      <c r="D25" s="81" t="n">
        <v>45568</v>
      </c>
      <c r="E25" s="82" t="n">
        <v>0</v>
      </c>
      <c r="F25" s="83" t="n">
        <v>0</v>
      </c>
      <c r="G25" s="84" t="n"/>
      <c r="H25" s="84" t="n"/>
      <c r="I25" s="85" t="n"/>
      <c r="J25" s="84" t="n"/>
      <c r="K25" s="86" t="n"/>
      <c r="L25" s="87" t="n"/>
      <c r="M25" s="88">
        <f>IFERROR(IF(OR(D25="",IF(H25&lt;&gt;"",H25,IF(J25&lt;&gt;"",J25,D25))=""),"",IF(H25&lt;&gt;"",H25,IF(J25&lt;&gt;"",J25,D25))-D25),"")</f>
        <v>0</v>
      </c>
      <c r="N25" s="89">
        <f>IFERROR(IF(OR(S25="",IF(H25&lt;&gt;"",H25,IF(J25&lt;&gt;"",J25,D25))=""),"",MAX(0,IF(H25&lt;&gt;"",H25,IF(J25&lt;&gt;"",J25,D25))-S25)),"")</f>
        <v>0</v>
      </c>
      <c r="O25" s="90" t="str">
        <f>IF(OR(AND(G25&lt;&gt;"",NOT(ISNUMBER(G25))),AND(H25&lt;&gt;"",NOT(ISNUMBER(H25))),AND(J25&lt;&gt;"",NOT(ISNUMBER(J25)))),"Not a date",IF(OR(AND(G25&lt;&gt;"",N(G25)&gt;TODAY()),AND(H25&lt;&gt;"",N(H25)&gt;TODAY())),"Date in the future",IF(H25&lt;&gt;"",IF(G25="","Start date needed","✓ Complete"),IF(AND(IF(H25&lt;&gt;"",H25,IF(J25&lt;&gt;"",J25,D25))&lt;&gt;"",S25&lt;&gt;"",IF(H25&lt;&gt;"",H25,IF(J25&lt;&gt;"",J25,D25))&gt;S25,K25="",L25=""),"Reason needed",IF(AND(G25="",OR(N(I25)&gt;0,AND(C25&lt;&gt;"",C25&lt;DATE(2024,6,30),X25=0))),"Start date needed",IF(AND(IF(H25&lt;&gt;"",H25,IF(J25&lt;&gt;"",J25,D25))&lt;&gt;"",IF(H25&lt;&gt;"",H25,IF(J25&lt;&gt;"",J25,D25))&lt;DATE(2024,6,30)),"Finish date needed",IF(X25=1,"✓ Updated","Not changed yet")))))))</f>
        <v>Not changed yet</v>
      </c>
      <c r="P25" t="inlineStr">
        <is>
          <t>Not Started</t>
        </is>
      </c>
      <c r="Q25" t="inlineStr">
        <is>
          <t>Yes</t>
        </is>
      </c>
      <c r="R25" s="91" t="n">
        <v>45554</v>
      </c>
      <c r="S25" s="91" t="n">
        <v>45568</v>
      </c>
      <c r="T25" s="91" t="n"/>
      <c r="U25" s="91" t="n"/>
      <c r="V25" s="92" t="n"/>
      <c r="W25" s="91" t="n"/>
      <c r="X25">
        <f>IF(OR(G25&lt;&gt;T25,H25&lt;&gt;U25,I25&lt;&gt;V25,J25&lt;&gt;W25,K25&lt;&gt;"",L25&lt;&gt;""),1,0)</f>
        <v>0</v>
      </c>
      <c r="Z25" s="91" t="n">
        <v>45568</v>
      </c>
    </row>
    <row r="26">
      <c r="A26" s="80" t="inlineStr">
        <is>
          <t>A1500</t>
        </is>
      </c>
      <c r="B26" s="80" t="inlineStr">
        <is>
          <t>Build package 50</t>
        </is>
      </c>
      <c r="C26" s="81" t="n">
        <v>45566</v>
      </c>
      <c r="D26" s="81" t="n">
        <v>45570</v>
      </c>
      <c r="E26" s="82" t="n">
        <v>5</v>
      </c>
      <c r="F26" s="83" t="n">
        <v>0</v>
      </c>
      <c r="G26" s="84" t="n"/>
      <c r="H26" s="84" t="n"/>
      <c r="I26" s="85" t="n"/>
      <c r="J26" s="84" t="n"/>
      <c r="K26" s="86" t="n"/>
      <c r="L26" s="87" t="n"/>
      <c r="M26" s="88">
        <f>IFERROR(IF(OR(D26="",IF(H26&lt;&gt;"",H26,IF(J26&lt;&gt;"",J26,D26))=""),"",IF(H26&lt;&gt;"",H26,IF(J26&lt;&gt;"",J26,D26))-D26),"")</f>
        <v>0</v>
      </c>
      <c r="N26" s="89">
        <f>IFERROR(IF(OR(S26="",IF(H26&lt;&gt;"",H26,IF(J26&lt;&gt;"",J26,D26))=""),"",MAX(0,IF(H26&lt;&gt;"",H26,IF(J26&lt;&gt;"",J26,D26))-S26)),"")</f>
        <v>0</v>
      </c>
      <c r="O26" s="90" t="str">
        <f>IF(OR(AND(G26&lt;&gt;"",NOT(ISNUMBER(G26))),AND(H26&lt;&gt;"",NOT(ISNUMBER(H26))),AND(J26&lt;&gt;"",NOT(ISNUMBER(J26)))),"Not a date",IF(OR(AND(G26&lt;&gt;"",N(G26)&gt;TODAY()),AND(H26&lt;&gt;"",N(H26)&gt;TODAY())),"Date in the future",IF(H26&lt;&gt;"",IF(G26="","Start date needed","✓ Complete"),IF(AND(IF(H26&lt;&gt;"",H26,IF(J26&lt;&gt;"",J26,D26))&lt;&gt;"",S26&lt;&gt;"",IF(H26&lt;&gt;"",H26,IF(J26&lt;&gt;"",J26,D26))&gt;S26,K26="",L26=""),"Reason needed",IF(AND(G26="",OR(N(I26)&gt;0,AND(C26&lt;&gt;"",C26&lt;DATE(2024,6,30),X26=0))),"Start date needed",IF(AND(IF(H26&lt;&gt;"",H26,IF(J26&lt;&gt;"",J26,D26))&lt;&gt;"",IF(H26&lt;&gt;"",H26,IF(J26&lt;&gt;"",J26,D26))&lt;DATE(2024,6,30)),"Finish date needed",IF(X26=1,"✓ Updated","Not changed yet")))))))</f>
        <v>Not changed yet</v>
      </c>
      <c r="P26" t="inlineStr">
        <is>
          <t>Not Started</t>
        </is>
      </c>
      <c r="Q26" t="inlineStr"/>
      <c r="R26" s="91" t="n">
        <v>45566</v>
      </c>
      <c r="S26" s="91" t="n">
        <v>45570</v>
      </c>
      <c r="T26" s="91" t="n"/>
      <c r="U26" s="91" t="n"/>
      <c r="V26" s="92" t="n"/>
      <c r="W26" s="91" t="n"/>
      <c r="X26">
        <f>IF(OR(G26&lt;&gt;T26,H26&lt;&gt;U26,I26&lt;&gt;V26,J26&lt;&gt;W26,K26&lt;&gt;"",L26&lt;&gt;""),1,0)</f>
        <v>0</v>
      </c>
      <c r="Z26" s="91" t="n">
        <v>45570</v>
      </c>
    </row>
    <row r="27">
      <c r="A27" s="80" t="inlineStr">
        <is>
          <t>A1520</t>
        </is>
      </c>
      <c r="B27" s="80" t="inlineStr">
        <is>
          <t>Build package 52</t>
        </is>
      </c>
      <c r="C27" s="81" t="n">
        <v>45570</v>
      </c>
      <c r="D27" s="81" t="n">
        <v>45581</v>
      </c>
      <c r="E27" s="82" t="n">
        <v>50</v>
      </c>
      <c r="F27" s="83" t="n">
        <v>0</v>
      </c>
      <c r="G27" s="84" t="n"/>
      <c r="H27" s="84" t="n"/>
      <c r="I27" s="85" t="n"/>
      <c r="J27" s="84" t="n"/>
      <c r="K27" s="86" t="n"/>
      <c r="L27" s="87" t="n"/>
      <c r="M27" s="88">
        <f>IFERROR(IF(OR(D27="",IF(H27&lt;&gt;"",H27,IF(J27&lt;&gt;"",J27,D27))=""),"",IF(H27&lt;&gt;"",H27,IF(J27&lt;&gt;"",J27,D27))-D27),"")</f>
        <v>0</v>
      </c>
      <c r="N27" s="89">
        <f>IFERROR(IF(OR(S27="",IF(H27&lt;&gt;"",H27,IF(J27&lt;&gt;"",J27,D27))=""),"",MAX(0,IF(H27&lt;&gt;"",H27,IF(J27&lt;&gt;"",J27,D27))-S27)),"")</f>
        <v>0</v>
      </c>
      <c r="O27" s="90" t="str">
        <f>IF(OR(AND(G27&lt;&gt;"",NOT(ISNUMBER(G27))),AND(H27&lt;&gt;"",NOT(ISNUMBER(H27))),AND(J27&lt;&gt;"",NOT(ISNUMBER(J27)))),"Not a date",IF(OR(AND(G27&lt;&gt;"",N(G27)&gt;TODAY()),AND(H27&lt;&gt;"",N(H27)&gt;TODAY())),"Date in the future",IF(H27&lt;&gt;"",IF(G27="","Start date needed","✓ Complete"),IF(AND(IF(H27&lt;&gt;"",H27,IF(J27&lt;&gt;"",J27,D27))&lt;&gt;"",S27&lt;&gt;"",IF(H27&lt;&gt;"",H27,IF(J27&lt;&gt;"",J27,D27))&gt;S27,K27="",L27=""),"Reason needed",IF(AND(G27="",OR(N(I27)&gt;0,AND(C27&lt;&gt;"",C27&lt;DATE(2024,6,30),X27=0))),"Start date needed",IF(AND(IF(H27&lt;&gt;"",H27,IF(J27&lt;&gt;"",J27,D27))&lt;&gt;"",IF(H27&lt;&gt;"",H27,IF(J27&lt;&gt;"",J27,D27))&lt;DATE(2024,6,30)),"Finish date needed",IF(X27=1,"✓ Updated","Not changed yet")))))))</f>
        <v>Not changed yet</v>
      </c>
      <c r="P27" t="inlineStr">
        <is>
          <t>Not Started</t>
        </is>
      </c>
      <c r="Q27" t="inlineStr"/>
      <c r="R27" s="91" t="n">
        <v>45570</v>
      </c>
      <c r="S27" s="91" t="n">
        <v>45581</v>
      </c>
      <c r="T27" s="91" t="n"/>
      <c r="U27" s="91" t="n"/>
      <c r="V27" s="92" t="n"/>
      <c r="W27" s="91" t="n"/>
      <c r="X27">
        <f>IF(OR(G27&lt;&gt;T27,H27&lt;&gt;U27,I27&lt;&gt;V27,J27&lt;&gt;W27,K27&lt;&gt;"",L27&lt;&gt;""),1,0)</f>
        <v>0</v>
      </c>
      <c r="Z27" s="91" t="n">
        <v>45581</v>
      </c>
    </row>
    <row r="28">
      <c r="A28" s="80" t="inlineStr">
        <is>
          <t>A1540</t>
        </is>
      </c>
      <c r="B28" s="80" t="inlineStr">
        <is>
          <t>Build package 54</t>
        </is>
      </c>
      <c r="C28" s="81" t="n">
        <v>45610</v>
      </c>
      <c r="D28" s="81" t="n">
        <v>45613</v>
      </c>
      <c r="E28" s="82" t="n">
        <v>0</v>
      </c>
      <c r="F28" s="83" t="n">
        <v>0</v>
      </c>
      <c r="G28" s="84" t="n"/>
      <c r="H28" s="84" t="n"/>
      <c r="I28" s="85" t="n"/>
      <c r="J28" s="84" t="n"/>
      <c r="K28" s="86" t="n"/>
      <c r="L28" s="87" t="n"/>
      <c r="M28" s="88">
        <f>IFERROR(IF(OR(D28="",IF(H28&lt;&gt;"",H28,IF(J28&lt;&gt;"",J28,D28))=""),"",IF(H28&lt;&gt;"",H28,IF(J28&lt;&gt;"",J28,D28))-D28),"")</f>
        <v>0</v>
      </c>
      <c r="N28" s="89">
        <f>IFERROR(IF(OR(S28="",IF(H28&lt;&gt;"",H28,IF(J28&lt;&gt;"",J28,D28))=""),"",MAX(0,IF(H28&lt;&gt;"",H28,IF(J28&lt;&gt;"",J28,D28))-S28)),"")</f>
        <v>0</v>
      </c>
      <c r="O28" s="90" t="str">
        <f>IF(OR(AND(G28&lt;&gt;"",NOT(ISNUMBER(G28))),AND(H28&lt;&gt;"",NOT(ISNUMBER(H28))),AND(J28&lt;&gt;"",NOT(ISNUMBER(J28)))),"Not a date",IF(OR(AND(G28&lt;&gt;"",N(G28)&gt;TODAY()),AND(H28&lt;&gt;"",N(H28)&gt;TODAY())),"Date in the future",IF(H28&lt;&gt;"",IF(G28="","Start date needed","✓ Complete"),IF(AND(IF(H28&lt;&gt;"",H28,IF(J28&lt;&gt;"",J28,D28))&lt;&gt;"",S28&lt;&gt;"",IF(H28&lt;&gt;"",H28,IF(J28&lt;&gt;"",J28,D28))&gt;S28,K28="",L28=""),"Reason needed",IF(AND(G28="",OR(N(I28)&gt;0,AND(C28&lt;&gt;"",C28&lt;DATE(2024,6,30),X28=0))),"Start date needed",IF(AND(IF(H28&lt;&gt;"",H28,IF(J28&lt;&gt;"",J28,D28))&lt;&gt;"",IF(H28&lt;&gt;"",H28,IF(J28&lt;&gt;"",J28,D28))&lt;DATE(2024,6,30)),"Finish date needed",IF(X28=1,"✓ Updated","Not changed yet")))))))</f>
        <v>Not changed yet</v>
      </c>
      <c r="P28" t="inlineStr">
        <is>
          <t>Not Started</t>
        </is>
      </c>
      <c r="Q28" t="inlineStr">
        <is>
          <t>Yes</t>
        </is>
      </c>
      <c r="R28" s="91" t="n">
        <v>45610</v>
      </c>
      <c r="S28" s="91" t="n">
        <v>45613</v>
      </c>
      <c r="T28" s="91" t="n"/>
      <c r="U28" s="91" t="n"/>
      <c r="V28" s="92" t="n"/>
      <c r="W28" s="91" t="n"/>
      <c r="X28">
        <f>IF(OR(G28&lt;&gt;T28,H28&lt;&gt;U28,I28&lt;&gt;V28,J28&lt;&gt;W28,K28&lt;&gt;"",L28&lt;&gt;""),1,0)</f>
        <v>0</v>
      </c>
      <c r="Z28" s="91" t="n">
        <v>45613</v>
      </c>
    </row>
    <row r="29">
      <c r="A29" s="80" t="inlineStr">
        <is>
          <t>A1560</t>
        </is>
      </c>
      <c r="B29" s="80" t="inlineStr">
        <is>
          <t>Build package 56</t>
        </is>
      </c>
      <c r="C29" s="81" t="n">
        <v>45616</v>
      </c>
      <c r="D29" s="81" t="n">
        <v>45630</v>
      </c>
      <c r="E29" s="82" t="n">
        <v>5</v>
      </c>
      <c r="F29" s="83" t="n">
        <v>0</v>
      </c>
      <c r="G29" s="84" t="n"/>
      <c r="H29" s="84" t="n"/>
      <c r="I29" s="85" t="n"/>
      <c r="J29" s="84" t="n"/>
      <c r="K29" s="86" t="n"/>
      <c r="L29" s="87" t="n"/>
      <c r="M29" s="88">
        <f>IFERROR(IF(OR(D29="",IF(H29&lt;&gt;"",H29,IF(J29&lt;&gt;"",J29,D29))=""),"",IF(H29&lt;&gt;"",H29,IF(J29&lt;&gt;"",J29,D29))-D29),"")</f>
        <v>0</v>
      </c>
      <c r="N29" s="89">
        <f>IFERROR(IF(OR(S29="",IF(H29&lt;&gt;"",H29,IF(J29&lt;&gt;"",J29,D29))=""),"",MAX(0,IF(H29&lt;&gt;"",H29,IF(J29&lt;&gt;"",J29,D29))-S29)),"")</f>
        <v>0</v>
      </c>
      <c r="O29" s="90" t="str">
        <f>IF(OR(AND(G29&lt;&gt;"",NOT(ISNUMBER(G29))),AND(H29&lt;&gt;"",NOT(ISNUMBER(H29))),AND(J29&lt;&gt;"",NOT(ISNUMBER(J29)))),"Not a date",IF(OR(AND(G29&lt;&gt;"",N(G29)&gt;TODAY()),AND(H29&lt;&gt;"",N(H29)&gt;TODAY())),"Date in the future",IF(H29&lt;&gt;"",IF(G29="","Start date needed","✓ Complete"),IF(AND(IF(H29&lt;&gt;"",H29,IF(J29&lt;&gt;"",J29,D29))&lt;&gt;"",S29&lt;&gt;"",IF(H29&lt;&gt;"",H29,IF(J29&lt;&gt;"",J29,D29))&gt;S29,K29="",L29=""),"Reason needed",IF(AND(G29="",OR(N(I29)&gt;0,AND(C29&lt;&gt;"",C29&lt;DATE(2024,6,30),X29=0))),"Start date needed",IF(AND(IF(H29&lt;&gt;"",H29,IF(J29&lt;&gt;"",J29,D29))&lt;&gt;"",IF(H29&lt;&gt;"",H29,IF(J29&lt;&gt;"",J29,D29))&lt;DATE(2024,6,30)),"Finish date needed",IF(X29=1,"✓ Updated","Not changed yet")))))))</f>
        <v>Not changed yet</v>
      </c>
      <c r="P29" t="inlineStr">
        <is>
          <t>Not Started</t>
        </is>
      </c>
      <c r="Q29" t="inlineStr"/>
      <c r="R29" s="91" t="n">
        <v>45616</v>
      </c>
      <c r="S29" s="91" t="n">
        <v>45630</v>
      </c>
      <c r="T29" s="91" t="n"/>
      <c r="U29" s="91" t="n"/>
      <c r="V29" s="92" t="n"/>
      <c r="W29" s="91" t="n"/>
      <c r="X29">
        <f>IF(OR(G29&lt;&gt;T29,H29&lt;&gt;U29,I29&lt;&gt;V29,J29&lt;&gt;W29,K29&lt;&gt;"",L29&lt;&gt;""),1,0)</f>
        <v>0</v>
      </c>
      <c r="Z29" s="91" t="n">
        <v>45630</v>
      </c>
    </row>
    <row r="30">
      <c r="A30" s="80" t="inlineStr">
        <is>
          <t>A1580</t>
        </is>
      </c>
      <c r="B30" s="80" t="inlineStr">
        <is>
          <t>Build package 58</t>
        </is>
      </c>
      <c r="C30" s="81" t="n">
        <v>45625</v>
      </c>
      <c r="D30" s="81" t="n">
        <v>45695</v>
      </c>
      <c r="E30" s="82" t="n">
        <v>5</v>
      </c>
      <c r="F30" s="83" t="n">
        <v>0</v>
      </c>
      <c r="G30" s="84" t="n"/>
      <c r="H30" s="84" t="n"/>
      <c r="I30" s="85" t="n"/>
      <c r="J30" s="84" t="n"/>
      <c r="K30" s="86" t="n"/>
      <c r="L30" s="87" t="n"/>
      <c r="M30" s="88">
        <f>IFERROR(IF(OR(D30="",IF(H30&lt;&gt;"",H30,IF(J30&lt;&gt;"",J30,D30))=""),"",IF(H30&lt;&gt;"",H30,IF(J30&lt;&gt;"",J30,D30))-D30),"")</f>
        <v>0</v>
      </c>
      <c r="N30" s="89">
        <f>IFERROR(IF(OR(S30="",IF(H30&lt;&gt;"",H30,IF(J30&lt;&gt;"",J30,D30))=""),"",MAX(0,IF(H30&lt;&gt;"",H30,IF(J30&lt;&gt;"",J30,D30))-S30)),"")</f>
        <v>0</v>
      </c>
      <c r="O30" s="90" t="str">
        <f>IF(OR(AND(G30&lt;&gt;"",NOT(ISNUMBER(G30))),AND(H30&lt;&gt;"",NOT(ISNUMBER(H30))),AND(J30&lt;&gt;"",NOT(ISNUMBER(J30)))),"Not a date",IF(OR(AND(G30&lt;&gt;"",N(G30)&gt;TODAY()),AND(H30&lt;&gt;"",N(H30)&gt;TODAY())),"Date in the future",IF(H30&lt;&gt;"",IF(G30="","Start date needed","✓ Complete"),IF(AND(IF(H30&lt;&gt;"",H30,IF(J30&lt;&gt;"",J30,D30))&lt;&gt;"",S30&lt;&gt;"",IF(H30&lt;&gt;"",H30,IF(J30&lt;&gt;"",J30,D30))&gt;S30,K30="",L30=""),"Reason needed",IF(AND(G30="",OR(N(I30)&gt;0,AND(C30&lt;&gt;"",C30&lt;DATE(2024,6,30),X30=0))),"Start date needed",IF(AND(IF(H30&lt;&gt;"",H30,IF(J30&lt;&gt;"",J30,D30))&lt;&gt;"",IF(H30&lt;&gt;"",H30,IF(J30&lt;&gt;"",J30,D30))&lt;DATE(2024,6,30)),"Finish date needed",IF(X30=1,"✓ Updated","Not changed yet")))))))</f>
        <v>Not changed yet</v>
      </c>
      <c r="P30" t="inlineStr">
        <is>
          <t>Not Started</t>
        </is>
      </c>
      <c r="Q30" t="inlineStr"/>
      <c r="R30" s="91" t="n">
        <v>45625</v>
      </c>
      <c r="S30" s="91" t="n">
        <v>45695</v>
      </c>
      <c r="T30" s="91" t="n"/>
      <c r="U30" s="91" t="n"/>
      <c r="V30" s="92" t="n"/>
      <c r="W30" s="91" t="n"/>
      <c r="X30">
        <f>IF(OR(G30&lt;&gt;T30,H30&lt;&gt;U30,I30&lt;&gt;V30,J30&lt;&gt;W30,K30&lt;&gt;"",L30&lt;&gt;""),1,0)</f>
        <v>0</v>
      </c>
      <c r="Z30" s="91" t="n">
        <v>45695</v>
      </c>
    </row>
  </sheetData>
  <sheetProtection selectLockedCells="0" selectUnlockedCells="0" sheet="1" objects="0" insertRows="1" insertHyperlinks="1" autoFilter="0" scenarios="0" formatColumns="0" deleteColumns="1" insertColumns="1" pivotTables="1" deleteRows="1" formatCells="1" formatRows="0" sort="0"/>
  <autoFilter ref="A9:O30"/>
  <mergeCells count="20">
    <mergeCell ref="C6:D6"/>
    <mergeCell ref="G6:I6"/>
    <mergeCell ref="J5:K5"/>
    <mergeCell ref="C5:D5"/>
    <mergeCell ref="E5:F5"/>
    <mergeCell ref="M6:O6"/>
    <mergeCell ref="A3:O3"/>
    <mergeCell ref="C4:D4"/>
    <mergeCell ref="E4:F4"/>
    <mergeCell ref="G5:I5"/>
    <mergeCell ref="J6:K6"/>
    <mergeCell ref="A8:F8"/>
    <mergeCell ref="G4:I4"/>
    <mergeCell ref="M8:O8"/>
    <mergeCell ref="J4:K4"/>
    <mergeCell ref="E6:F6"/>
    <mergeCell ref="M4:O4"/>
    <mergeCell ref="M5:O5"/>
    <mergeCell ref="G8:L8"/>
    <mergeCell ref="A4:B6"/>
  </mergeCells>
  <conditionalFormatting sqref="G5">
    <cfRule type="cellIs" priority="1" operator="greaterThan" dxfId="0">
      <formula>0</formula>
    </cfRule>
  </conditionalFormatting>
  <conditionalFormatting sqref="G10:G30">
    <cfRule type="expression" priority="2" dxfId="12">
      <formula>G10&lt;&gt;T10</formula>
    </cfRule>
  </conditionalFormatting>
  <conditionalFormatting sqref="H10:H30">
    <cfRule type="expression" priority="3" dxfId="12">
      <formula>H10&lt;&gt;U10</formula>
    </cfRule>
  </conditionalFormatting>
  <conditionalFormatting sqref="I10:I30">
    <cfRule type="expression" priority="4" dxfId="12">
      <formula>I10&lt;&gt;V10</formula>
    </cfRule>
    <cfRule type="dataBar" priority="10">
      <dataBar minLength="0" maxLength="100" showValue="1">
        <cfvo type="num" val="0"/>
        <cfvo type="num" val="100"/>
        <color rgb="0070AD47"/>
      </dataBar>
    </cfRule>
  </conditionalFormatting>
  <conditionalFormatting sqref="J10:J30">
    <cfRule type="expression" priority="5" dxfId="12">
      <formula>J10&lt;&gt;W10</formula>
    </cfRule>
  </conditionalFormatting>
  <conditionalFormatting sqref="K10:L30">
    <cfRule type="expression" priority="6" dxfId="8">
      <formula>K10&lt;&gt;""</formula>
    </cfRule>
  </conditionalFormatting>
  <conditionalFormatting sqref="A10:A30">
    <cfRule type="expression" priority="7" dxfId="3">
      <formula>$Q10="Yes"</formula>
    </cfRule>
  </conditionalFormatting>
  <conditionalFormatting sqref="E10:E30">
    <cfRule type="cellIs" priority="8" operator="lessThan" dxfId="13">
      <formula>0</formula>
    </cfRule>
  </conditionalFormatting>
  <conditionalFormatting sqref="F10:F30">
    <cfRule type="dataBar" priority="9">
      <dataBar minLength="0" maxLength="100" showValue="1">
        <cfvo type="num" val="0"/>
        <cfvo type="num" val="100"/>
        <color rgb="00A9C4EB"/>
      </dataBar>
    </cfRule>
  </conditionalFormatting>
  <conditionalFormatting sqref="M10:M30">
    <cfRule type="cellIs" priority="11" operator="greaterThan" dxfId="9">
      <formula>0</formula>
    </cfRule>
    <cfRule type="cellIs" priority="12" operator="lessThan" dxfId="5">
      <formula>0</formula>
    </cfRule>
  </conditionalFormatting>
  <conditionalFormatting sqref="N10:N30">
    <cfRule type="cellIs" priority="13" operator="greaterThan" dxfId="9">
      <formula>0</formula>
    </cfRule>
  </conditionalFormatting>
  <conditionalFormatting sqref="O10:O30">
    <cfRule type="expression" priority="14" dxfId="10">
      <formula>LEFT(O10,1)="✓"</formula>
    </cfRule>
    <cfRule type="expression" priority="15" dxfId="11">
      <formula>O10="Reason needed"</formula>
    </cfRule>
    <cfRule type="expression" priority="16" dxfId="11">
      <formula>O10="Start date needed"</formula>
    </cfRule>
    <cfRule type="expression" priority="17" dxfId="11">
      <formula>O10="Finish date needed"</formula>
    </cfRule>
    <cfRule type="expression" priority="18" dxfId="11">
      <formula>O10="Date in the future"</formula>
    </cfRule>
    <cfRule type="expression" priority="19" dxfId="11">
      <formula>O10="Not a date"</formula>
    </cfRule>
    <cfRule type="expression" priority="20" dxfId="6">
      <formula>O10="Not changed yet"</formula>
    </cfRule>
  </conditionalFormatting>
  <dataValidations count="6">
    <dataValidation sqref="G10:G30" showDropDown="0" showInputMessage="1" showErrorMessage="1" allowBlank="1" errorTitle="Not an actual start" error="An actual start is a date that has already happened - today or earlier - typed like 14 Oct 2026. If the work has not started yet, leave it empty." promptTitle="Actual start" prompt="The date the work really started (today or earlier). Leave empty if it has not." type="date" operator="between">
      <formula1>DATE(2000,1,1)</formula1>
      <formula2>TODAY()</formula2>
    </dataValidation>
    <dataValidation sqref="H10:H30" showDropDown="0" showInputMessage="1" showErrorMessage="1" allowBlank="1" errorTitle="Not an actual finish" error="An actual finish must be a date that has already happened (today or earlier) and not before the actual start. Not finished yet? Leave Actual finish empty and put the date you expect in Expected finish." promptTitle="Actual finish" prompt="The date the work really finished (today or earlier). Not finished? Leave it empty and use Expected finish." type="custom">
      <formula1>OR(H10="",AND(ISNUMBER(H10),H10&gt;DATE(2000,1,1),H10&lt;=TODAY(),OR(G10="",H10&gt;=G10)))</formula1>
    </dataValidation>
    <dataValidation sqref="I10:I30" showDropDown="0" showInputMessage="1" showErrorMessage="1" allowBlank="1" errorTitle="Not a percentage" error="Type a number from 0 to 100." promptTitle="Actual % complete" prompt="How complete this activity actually is now, 0 to 100." type="decimal" operator="between">
      <formula1>0</formula1>
      <formula2>100</formula2>
    </dataValidation>
    <dataValidation sqref="J10:J30" showDropDown="0" showInputMessage="1" showErrorMessage="1" allowBlank="1" errorTitle="Not a date" error="Type a date, like 14 Oct 2026." promptTitle="Expected finish" prompt="Only if the finish date is changing: when you now expect it to finish. Otherwise leave it empty." type="date" operator="greaterThan">
      <formula1>DATE(2000,1,1)</formula1>
    </dataValidation>
    <dataValidation sqref="K10:K30" showDropDown="0" showInputMessage="1" showErrorMessage="0" allowBlank="1" promptTitle="Delay cause" prompt="If it is late or moving: pick the main cause from the arrow, or type your own." type="list">
      <formula1>=CauseList</formula1>
    </dataValidation>
    <dataValidation sqref="L10:L30" showDropDown="0" showInputMessage="1" showErrorMessage="1" allowBlank="1" errorTitle="Too long" error="Please keep it under 1,000 characters." promptTitle="Notes" prompt="What is holding it up, and what is being done about it." type="textLength" operator="lessThanOrEqual">
      <formula1>1000</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2F5597"/>
    <outlinePr summaryBelow="1" summaryRight="1"/>
    <pageSetUpPr fitToPage="1"/>
  </sheetPr>
  <dimension ref="A1:Z29"/>
  <sheetViews>
    <sheetView showGridLines="0" zoomScale="90" workbookViewId="0">
      <pane xSplit="2" ySplit="9" topLeftCell="C10"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11" customWidth="1" min="3" max="3"/>
    <col width="11" customWidth="1" min="4" max="4"/>
    <col width="8" customWidth="1" min="5" max="5"/>
    <col width="11" customWidth="1" min="6" max="6"/>
    <col width="12" customWidth="1" min="7" max="7"/>
    <col width="12" customWidth="1" min="8" max="8"/>
    <col width="11" customWidth="1" min="9" max="9"/>
    <col width="12" customWidth="1" min="10" max="10"/>
    <col width="18" customWidth="1" min="11" max="11"/>
    <col width="42" customWidth="1" min="12" max="12"/>
    <col width="10" customWidth="1" min="13" max="13"/>
    <col width="9" customWidth="1" min="14" max="14"/>
    <col width="19" customWidth="1" min="15" max="15"/>
    <col hidden="1" width="4" customWidth="1" min="16" max="16"/>
    <col hidden="1" width="4" customWidth="1" min="17" max="17"/>
    <col hidden="1" width="4" customWidth="1" min="18" max="18"/>
    <col hidden="1" width="4" customWidth="1" min="19" max="19"/>
    <col hidden="1" width="4" customWidth="1" min="20" max="20"/>
    <col hidden="1" width="4" customWidth="1" min="21" max="21"/>
    <col hidden="1" width="4" customWidth="1" min="22" max="22"/>
    <col hidden="1" width="4" customWidth="1" min="23" max="23"/>
    <col hidden="1" width="4" customWidth="1" min="24" max="24"/>
    <col hidden="1" width="4" customWidth="1" min="25" max="25"/>
    <col hidden="1" width="4" customWidth="1" min="26" max="26"/>
  </cols>
  <sheetData>
    <row r="1" ht="32" customHeight="1">
      <c r="A1" s="1" t="inlineStr">
        <is>
          <t>Programme update  ·  Tom Reid - Package Manager</t>
        </is>
      </c>
      <c r="B1" s="3" t="n"/>
      <c r="C1" s="3" t="n"/>
      <c r="D1" s="3" t="n"/>
      <c r="E1" s="3" t="n"/>
      <c r="F1" s="3" t="n"/>
      <c r="G1" s="3" t="n"/>
      <c r="H1" s="3" t="n"/>
      <c r="I1" s="3" t="n"/>
      <c r="J1" s="3" t="n"/>
      <c r="K1" s="3" t="n"/>
      <c r="L1" s="3" t="n"/>
      <c r="M1" s="3" t="n"/>
      <c r="N1" s="3" t="n"/>
      <c r="O1" s="3" t="n"/>
    </row>
    <row r="2" ht="22" customHeight="1">
      <c r="A2" s="4" t="inlineStr">
        <is>
          <t>SAMPLE-FITOUT   ·   data date 30 Jun 2024   ·   Whole programme</t>
        </is>
      </c>
      <c r="B2" s="3" t="n"/>
      <c r="C2" s="3" t="n"/>
      <c r="D2" s="3" t="n"/>
      <c r="E2" s="3" t="n"/>
      <c r="F2" s="3" t="n"/>
      <c r="G2" s="3" t="n"/>
      <c r="H2" s="3" t="n"/>
      <c r="I2" s="3" t="n"/>
      <c r="J2" s="3" t="n"/>
      <c r="K2" s="3" t="n"/>
      <c r="L2" s="3" t="n"/>
      <c r="M2" s="3" t="n"/>
      <c r="N2" s="3" t="n"/>
      <c r="O2" s="3" t="n"/>
    </row>
    <row r="3" ht="20" customHeight="1">
      <c r="A3" s="6" t="str">
        <f>IF(INFO("RECALC")="Automatic","","If these figures are struck through, or do not follow what is typed, Excel is calculating manually: press F9 to update them, or turn it on for good with Formulas › Calculation Options › Automatic.")</f>
        <v>If these figures are struck through, or do not follow what is typed, Excel is calculating manually: press F9 to update them, or turn it on for good with Formulas › Calculation Options › Automatic.</v>
      </c>
    </row>
    <row r="4" ht="20" customHeight="1">
      <c r="A4" s="59" t="inlineStr">
        <is>
          <t>1   Type in the white columns only; grey is the programme, locked. Type dates like 14 Oct 2026.
2   Actual start / finish: dates that have happened - type over the programme's. Not finished yet? Leave Actual finish empty and give an Expected finish.
3   Finishing late? Give a delay cause or a note. Check says what is still needed.</t>
        </is>
      </c>
      <c r="B4" s="60" t="n"/>
      <c r="C4" s="11" t="inlineStr">
        <is>
          <t>ACTIVITIES</t>
        </is>
      </c>
      <c r="D4" s="12" t="n"/>
      <c r="E4" s="61" t="inlineStr">
        <is>
          <t>UPDATED</t>
        </is>
      </c>
      <c r="F4" s="12" t="n"/>
      <c r="G4" s="14" t="inlineStr">
        <is>
          <t>NEED SOMETHING FROM YOU</t>
        </is>
      </c>
      <c r="H4" s="16" t="n"/>
      <c r="I4" s="12" t="n"/>
      <c r="J4" s="15" t="inlineStr">
        <is>
          <t>FINISHING LATE</t>
        </is>
      </c>
      <c r="K4" s="12" t="n"/>
      <c r="L4" s="62" t="inlineStr">
        <is>
          <t>Grey: the programme</t>
        </is>
      </c>
      <c r="M4" s="63" t="str">
        <f>HYPERLINK("#Overview!C5","‹ Overview")</f>
        <v>‹ Overview</v>
      </c>
    </row>
    <row r="5" ht="30" customHeight="1">
      <c r="A5" s="60" t="n"/>
      <c r="B5" s="60" t="n"/>
      <c r="C5" s="20">
        <f>COUNTA($P$10:$P$29)</f>
        <v>19</v>
      </c>
      <c r="D5" s="21" t="n"/>
      <c r="E5" s="64">
        <f>SUM($X$10:$X$29)</f>
        <v>0</v>
      </c>
      <c r="F5" s="21" t="n"/>
      <c r="G5" s="23">
        <f>COUNTIF($O$10:$O$29,"Reason needed")+COUNTIF($O$10:$O$29,"Start date needed")+COUNTIF($O$10:$O$29,"Finish date needed")+COUNTIF($O$10:$O$29,"Date in the future")</f>
        <v>1</v>
      </c>
      <c r="H5" s="25" t="n"/>
      <c r="I5" s="21" t="n"/>
      <c r="J5" s="24">
        <f>COUNTIFS($N$10:$N$29,"&gt;0",$H$10:$H$29,"")</f>
        <v>0</v>
      </c>
      <c r="K5" s="21" t="n"/>
      <c r="L5" s="65" t="inlineStr">
        <is>
          <t>White: your update</t>
        </is>
      </c>
      <c r="M5" s="66" t="inlineStr">
        <is>
          <t>Red in Check: still needed</t>
        </is>
      </c>
    </row>
    <row r="6" ht="20" customHeight="1">
      <c r="A6" s="60" t="n"/>
      <c r="B6" s="60" t="n"/>
      <c r="C6" s="29" t="str">
        <f>"in this update"</f>
        <v>in this update</v>
      </c>
      <c r="D6" s="30" t="n"/>
      <c r="E6" s="67" t="str">
        <f>IFERROR(TEXT(SUM($X$10:$X$29)/COUNTA($P$10:$P$29),"0%"),"0%")&amp;" done"</f>
        <v>0% done</v>
      </c>
      <c r="F6" s="30" t="n"/>
      <c r="G6" s="32" t="str">
        <f>"red in the Check column"</f>
        <v>red in the Check column</v>
      </c>
      <c r="H6" s="34" t="n"/>
      <c r="I6" s="30" t="n"/>
      <c r="J6" s="33" t="str">
        <f>"not finished, past the planned finish"</f>
        <v>not finished, past the planned finish</v>
      </c>
      <c r="K6" s="30" t="n"/>
      <c r="L6" s="68" t="inlineStr">
        <is>
          <t>Green: you changed it</t>
        </is>
      </c>
      <c r="M6" s="69" t="inlineStr">
        <is>
          <t>Bold red ID: critical</t>
        </is>
      </c>
    </row>
    <row r="8">
      <c r="A8" s="70" t="inlineStr">
        <is>
          <t>THE PROGRAMME  (locked)</t>
        </is>
      </c>
      <c r="B8" s="71" t="n"/>
      <c r="C8" s="71" t="n"/>
      <c r="D8" s="71" t="n"/>
      <c r="E8" s="71" t="n"/>
      <c r="F8" s="71" t="n"/>
      <c r="G8" s="72" t="inlineStr">
        <is>
          <t>YOUR UPDATE</t>
        </is>
      </c>
      <c r="H8" s="73" t="n"/>
      <c r="I8" s="73" t="n"/>
      <c r="J8" s="73" t="n"/>
      <c r="K8" s="73" t="n"/>
      <c r="L8" s="73" t="n"/>
      <c r="M8" s="74" t="inlineStr">
        <is>
          <t>CHECK</t>
        </is>
      </c>
      <c r="N8" s="3" t="n"/>
      <c r="O8" s="3" t="n"/>
    </row>
    <row r="9" ht="34" customHeight="1">
      <c r="A9" s="75" t="inlineStr">
        <is>
          <t>Activity ID</t>
        </is>
      </c>
      <c r="B9" s="76" t="inlineStr">
        <is>
          <t>Activity name</t>
        </is>
      </c>
      <c r="C9" s="75" t="inlineStr">
        <is>
          <t>Start</t>
        </is>
      </c>
      <c r="D9" s="75" t="inlineStr">
        <is>
          <t>Finish</t>
        </is>
      </c>
      <c r="E9" s="75" t="inlineStr">
        <is>
          <t>Float (d)</t>
        </is>
      </c>
      <c r="F9" s="75" t="inlineStr">
        <is>
          <t>Physical % complete</t>
        </is>
      </c>
      <c r="G9" s="51" t="inlineStr">
        <is>
          <t>Actual start</t>
        </is>
      </c>
      <c r="H9" s="51" t="inlineStr">
        <is>
          <t>Actual finish</t>
        </is>
      </c>
      <c r="I9" s="51" t="inlineStr">
        <is>
          <t>Actual % complete</t>
        </is>
      </c>
      <c r="J9" s="51" t="inlineStr">
        <is>
          <t>Expected finish</t>
        </is>
      </c>
      <c r="K9" s="51" t="inlineStr">
        <is>
          <t>Delay cause</t>
        </is>
      </c>
      <c r="L9" s="77" t="inlineStr">
        <is>
          <t>Notes</t>
        </is>
      </c>
      <c r="M9" s="41" t="inlineStr">
        <is>
          <t>Finish moves (d)</t>
        </is>
      </c>
      <c r="N9" s="41" t="inlineStr">
        <is>
          <t>Days late</t>
        </is>
      </c>
      <c r="O9" s="41" t="inlineStr">
        <is>
          <t>Check</t>
        </is>
      </c>
      <c r="P9" s="41" t="inlineStr">
        <is>
          <t>Status</t>
        </is>
      </c>
      <c r="Q9" s="41" t="inlineStr">
        <is>
          <t>Critical</t>
        </is>
      </c>
      <c r="R9" s="41" t="inlineStr">
        <is>
          <t>Planned start</t>
        </is>
      </c>
      <c r="S9" s="41" t="inlineStr">
        <is>
          <t>Compare finish</t>
        </is>
      </c>
      <c r="T9" s="41" t="inlineStr">
        <is>
          <t>was actual start</t>
        </is>
      </c>
      <c r="U9" s="41" t="inlineStr">
        <is>
          <t>was actual finish</t>
        </is>
      </c>
      <c r="V9" s="41" t="inlineStr">
        <is>
          <t>was actual %</t>
        </is>
      </c>
      <c r="W9" s="41" t="inlineStr">
        <is>
          <t>was expected finish</t>
        </is>
      </c>
      <c r="X9" s="41" t="inlineStr">
        <is>
          <t>changed</t>
        </is>
      </c>
      <c r="Y9" s="41" t="inlineStr">
        <is>
          <t>WBS level</t>
        </is>
      </c>
      <c r="Z9" s="41" t="inlineStr">
        <is>
          <t>Planned finish</t>
        </is>
      </c>
    </row>
    <row r="10" ht="18" customHeight="1">
      <c r="A10" s="78" t="inlineStr">
        <is>
          <t>CON  Construction</t>
        </is>
      </c>
      <c r="B10" s="79" t="n"/>
      <c r="C10" s="79" t="n"/>
      <c r="D10" s="79" t="n"/>
      <c r="E10" s="79" t="n"/>
      <c r="F10" s="79" t="n"/>
      <c r="G10" s="79" t="n"/>
      <c r="H10" s="79" t="n"/>
      <c r="I10" s="79" t="n"/>
      <c r="J10" s="79" t="n"/>
      <c r="K10" s="79" t="n"/>
      <c r="L10" s="79" t="n"/>
      <c r="M10" s="79" t="n"/>
      <c r="N10" s="79" t="n"/>
      <c r="O10" s="79" t="n"/>
      <c r="Y10" t="n">
        <v>1</v>
      </c>
    </row>
    <row r="11">
      <c r="A11" s="80" t="inlineStr">
        <is>
          <t>A1210</t>
        </is>
      </c>
      <c r="B11" s="80" t="inlineStr">
        <is>
          <t>Build package 21</t>
        </is>
      </c>
      <c r="C11" s="81" t="n">
        <v>45362</v>
      </c>
      <c r="D11" s="81" t="n">
        <v>45376</v>
      </c>
      <c r="E11" s="82" t="n">
        <v>0</v>
      </c>
      <c r="F11" s="83" t="n">
        <v>100</v>
      </c>
      <c r="G11" s="84" t="n">
        <v>45362</v>
      </c>
      <c r="H11" s="84" t="n">
        <v>45376</v>
      </c>
      <c r="I11" s="85" t="n"/>
      <c r="J11" s="84" t="n"/>
      <c r="K11" s="86" t="n"/>
      <c r="L11" s="87" t="n"/>
      <c r="M11" s="88">
        <f>IFERROR(IF(OR(D11="",IF(H11&lt;&gt;"",H11,IF(J11&lt;&gt;"",J11,D11))=""),"",IF(H11&lt;&gt;"",H11,IF(J11&lt;&gt;"",J11,D11))-D11),"")</f>
        <v>0</v>
      </c>
      <c r="N11" s="89">
        <f>IFERROR(IF(OR(S11="",IF(H11&lt;&gt;"",H11,IF(J11&lt;&gt;"",J11,D11))=""),"",MAX(0,IF(H11&lt;&gt;"",H11,IF(J11&lt;&gt;"",J11,D11))-S11)),"")</f>
        <v>0</v>
      </c>
      <c r="O11" s="90" t="str">
        <f>IF(OR(AND(G11&lt;&gt;"",NOT(ISNUMBER(G11))),AND(H11&lt;&gt;"",NOT(ISNUMBER(H11))),AND(J11&lt;&gt;"",NOT(ISNUMBER(J11)))),"Not a date",IF(OR(AND(G11&lt;&gt;"",N(G11)&gt;TODAY()),AND(H11&lt;&gt;"",N(H11)&gt;TODAY())),"Date in the future",IF(H11&lt;&gt;"",IF(G11="","Start date needed","✓ Complete"),IF(AND(IF(H11&lt;&gt;"",H11,IF(J11&lt;&gt;"",J11,D11))&lt;&gt;"",S11&lt;&gt;"",IF(H11&lt;&gt;"",H11,IF(J11&lt;&gt;"",J11,D11))&gt;S11,K11="",L11=""),"Reason needed",IF(AND(G11="",OR(N(I11)&gt;0,AND(C11&lt;&gt;"",C11&lt;DATE(2024,6,30),X11=0))),"Start date needed",IF(AND(IF(H11&lt;&gt;"",H11,IF(J11&lt;&gt;"",J11,D11))&lt;&gt;"",IF(H11&lt;&gt;"",H11,IF(J11&lt;&gt;"",J11,D11))&lt;DATE(2024,6,30)),"Finish date needed",IF(X11=1,"✓ Updated","Not changed yet")))))))</f>
        <v>✓ Complete</v>
      </c>
      <c r="P11" t="inlineStr">
        <is>
          <t>Completed</t>
        </is>
      </c>
      <c r="Q11" t="inlineStr"/>
      <c r="R11" s="91" t="n">
        <v>45362</v>
      </c>
      <c r="S11" s="91" t="n">
        <v>45376</v>
      </c>
      <c r="T11" s="91" t="n">
        <v>45362</v>
      </c>
      <c r="U11" s="91" t="n">
        <v>45376</v>
      </c>
      <c r="V11" s="92" t="n"/>
      <c r="W11" s="91" t="n"/>
      <c r="X11">
        <f>IF(OR(G11&lt;&gt;T11,H11&lt;&gt;U11,I11&lt;&gt;V11,J11&lt;&gt;W11,K11&lt;&gt;"",L11&lt;&gt;""),1,0)</f>
        <v>0</v>
      </c>
      <c r="Z11" s="91" t="n">
        <v>45376</v>
      </c>
    </row>
    <row r="12">
      <c r="A12" s="80" t="inlineStr">
        <is>
          <t>A1230</t>
        </is>
      </c>
      <c r="B12" s="80" t="inlineStr">
        <is>
          <t>Build package 23</t>
        </is>
      </c>
      <c r="C12" s="81" t="n">
        <v>45376</v>
      </c>
      <c r="D12" s="81" t="n">
        <v>45387</v>
      </c>
      <c r="E12" s="82" t="n">
        <v>50</v>
      </c>
      <c r="F12" s="83" t="n">
        <v>100</v>
      </c>
      <c r="G12" s="84" t="n">
        <v>45376</v>
      </c>
      <c r="H12" s="84" t="n">
        <v>45387</v>
      </c>
      <c r="I12" s="85" t="n"/>
      <c r="J12" s="84" t="n"/>
      <c r="K12" s="86" t="n"/>
      <c r="L12" s="87" t="n"/>
      <c r="M12" s="88">
        <f>IFERROR(IF(OR(D12="",IF(H12&lt;&gt;"",H12,IF(J12&lt;&gt;"",J12,D12))=""),"",IF(H12&lt;&gt;"",H12,IF(J12&lt;&gt;"",J12,D12))-D12),"")</f>
        <v>0</v>
      </c>
      <c r="N12" s="89">
        <f>IFERROR(IF(OR(S12="",IF(H12&lt;&gt;"",H12,IF(J12&lt;&gt;"",J12,D12))=""),"",MAX(0,IF(H12&lt;&gt;"",H12,IF(J12&lt;&gt;"",J12,D12))-S12)),"")</f>
        <v>0</v>
      </c>
      <c r="O12" s="90" t="str">
        <f>IF(OR(AND(G12&lt;&gt;"",NOT(ISNUMBER(G12))),AND(H12&lt;&gt;"",NOT(ISNUMBER(H12))),AND(J12&lt;&gt;"",NOT(ISNUMBER(J12)))),"Not a date",IF(OR(AND(G12&lt;&gt;"",N(G12)&gt;TODAY()),AND(H12&lt;&gt;"",N(H12)&gt;TODAY())),"Date in the future",IF(H12&lt;&gt;"",IF(G12="","Start date needed","✓ Complete"),IF(AND(IF(H12&lt;&gt;"",H12,IF(J12&lt;&gt;"",J12,D12))&lt;&gt;"",S12&lt;&gt;"",IF(H12&lt;&gt;"",H12,IF(J12&lt;&gt;"",J12,D12))&gt;S12,K12="",L12=""),"Reason needed",IF(AND(G12="",OR(N(I12)&gt;0,AND(C12&lt;&gt;"",C12&lt;DATE(2024,6,30),X12=0))),"Start date needed",IF(AND(IF(H12&lt;&gt;"",H12,IF(J12&lt;&gt;"",J12,D12))&lt;&gt;"",IF(H12&lt;&gt;"",H12,IF(J12&lt;&gt;"",J12,D12))&lt;DATE(2024,6,30)),"Finish date needed",IF(X12=1,"✓ Updated","Not changed yet")))))))</f>
        <v>✓ Complete</v>
      </c>
      <c r="P12" t="inlineStr">
        <is>
          <t>Completed</t>
        </is>
      </c>
      <c r="Q12" t="inlineStr"/>
      <c r="R12" s="91" t="n">
        <v>45376</v>
      </c>
      <c r="S12" s="91" t="n">
        <v>45387</v>
      </c>
      <c r="T12" s="91" t="n">
        <v>45376</v>
      </c>
      <c r="U12" s="91" t="n">
        <v>45387</v>
      </c>
      <c r="V12" s="92" t="n"/>
      <c r="W12" s="91" t="n"/>
      <c r="X12">
        <f>IF(OR(G12&lt;&gt;T12,H12&lt;&gt;U12,I12&lt;&gt;V12,J12&lt;&gt;W12,K12&lt;&gt;"",L12&lt;&gt;""),1,0)</f>
        <v>0</v>
      </c>
      <c r="Z12" s="91" t="n">
        <v>45387</v>
      </c>
    </row>
    <row r="13">
      <c r="A13" s="80" t="inlineStr">
        <is>
          <t>A1250</t>
        </is>
      </c>
      <c r="B13" s="80" t="inlineStr">
        <is>
          <t>Build package 25</t>
        </is>
      </c>
      <c r="C13" s="81" t="n">
        <v>45416</v>
      </c>
      <c r="D13" s="81" t="n">
        <v>45427</v>
      </c>
      <c r="E13" s="82" t="n">
        <v>-3</v>
      </c>
      <c r="F13" s="83" t="n">
        <v>100</v>
      </c>
      <c r="G13" s="84" t="n">
        <v>45416</v>
      </c>
      <c r="H13" s="84" t="n">
        <v>45427</v>
      </c>
      <c r="I13" s="85" t="n"/>
      <c r="J13" s="84" t="n"/>
      <c r="K13" s="86" t="n"/>
      <c r="L13" s="87" t="n"/>
      <c r="M13" s="88">
        <f>IFERROR(IF(OR(D13="",IF(H13&lt;&gt;"",H13,IF(J13&lt;&gt;"",J13,D13))=""),"",IF(H13&lt;&gt;"",H13,IF(J13&lt;&gt;"",J13,D13))-D13),"")</f>
        <v>0</v>
      </c>
      <c r="N13" s="89">
        <f>IFERROR(IF(OR(S13="",IF(H13&lt;&gt;"",H13,IF(J13&lt;&gt;"",J13,D13))=""),"",MAX(0,IF(H13&lt;&gt;"",H13,IF(J13&lt;&gt;"",J13,D13))-S13)),"")</f>
        <v>0</v>
      </c>
      <c r="O13" s="90" t="str">
        <f>IF(OR(AND(G13&lt;&gt;"",NOT(ISNUMBER(G13))),AND(H13&lt;&gt;"",NOT(ISNUMBER(H13))),AND(J13&lt;&gt;"",NOT(ISNUMBER(J13)))),"Not a date",IF(OR(AND(G13&lt;&gt;"",N(G13)&gt;TODAY()),AND(H13&lt;&gt;"",N(H13)&gt;TODAY())),"Date in the future",IF(H13&lt;&gt;"",IF(G13="","Start date needed","✓ Complete"),IF(AND(IF(H13&lt;&gt;"",H13,IF(J13&lt;&gt;"",J13,D13))&lt;&gt;"",S13&lt;&gt;"",IF(H13&lt;&gt;"",H13,IF(J13&lt;&gt;"",J13,D13))&gt;S13,K13="",L13=""),"Reason needed",IF(AND(G13="",OR(N(I13)&gt;0,AND(C13&lt;&gt;"",C13&lt;DATE(2024,6,30),X13=0))),"Start date needed",IF(AND(IF(H13&lt;&gt;"",H13,IF(J13&lt;&gt;"",J13,D13))&lt;&gt;"",IF(H13&lt;&gt;"",H13,IF(J13&lt;&gt;"",J13,D13))&lt;DATE(2024,6,30)),"Finish date needed",IF(X13=1,"✓ Updated","Not changed yet")))))))</f>
        <v>✓ Complete</v>
      </c>
      <c r="P13" t="inlineStr">
        <is>
          <t>Completed</t>
        </is>
      </c>
      <c r="Q13" t="inlineStr"/>
      <c r="R13" s="91" t="n">
        <v>45416</v>
      </c>
      <c r="S13" s="91" t="n">
        <v>45427</v>
      </c>
      <c r="T13" s="91" t="n">
        <v>45416</v>
      </c>
      <c r="U13" s="91" t="n">
        <v>45427</v>
      </c>
      <c r="V13" s="92" t="n"/>
      <c r="W13" s="91" t="n"/>
      <c r="X13">
        <f>IF(OR(G13&lt;&gt;T13,H13&lt;&gt;U13,I13&lt;&gt;V13,J13&lt;&gt;W13,K13&lt;&gt;"",L13&lt;&gt;""),1,0)</f>
        <v>0</v>
      </c>
      <c r="Z13" s="91" t="n">
        <v>45427</v>
      </c>
    </row>
    <row r="14">
      <c r="A14" s="80" t="inlineStr">
        <is>
          <t>A1270</t>
        </is>
      </c>
      <c r="B14" s="80" t="inlineStr">
        <is>
          <t>Build package 27</t>
        </is>
      </c>
      <c r="C14" s="81" t="n">
        <v>45424</v>
      </c>
      <c r="D14" s="81" t="n">
        <v>45428</v>
      </c>
      <c r="E14" s="82" t="n">
        <v>0</v>
      </c>
      <c r="F14" s="83" t="n">
        <v>100</v>
      </c>
      <c r="G14" s="84" t="n">
        <v>45424</v>
      </c>
      <c r="H14" s="84" t="n">
        <v>45428</v>
      </c>
      <c r="I14" s="85" t="n"/>
      <c r="J14" s="84" t="n"/>
      <c r="K14" s="86" t="n"/>
      <c r="L14" s="87" t="n"/>
      <c r="M14" s="88">
        <f>IFERROR(IF(OR(D14="",IF(H14&lt;&gt;"",H14,IF(J14&lt;&gt;"",J14,D14))=""),"",IF(H14&lt;&gt;"",H14,IF(J14&lt;&gt;"",J14,D14))-D14),"")</f>
        <v>0</v>
      </c>
      <c r="N14" s="89">
        <f>IFERROR(IF(OR(S14="",IF(H14&lt;&gt;"",H14,IF(J14&lt;&gt;"",J14,D14))=""),"",MAX(0,IF(H14&lt;&gt;"",H14,IF(J14&lt;&gt;"",J14,D14))-S14)),"")</f>
        <v>0</v>
      </c>
      <c r="O14" s="90" t="str">
        <f>IF(OR(AND(G14&lt;&gt;"",NOT(ISNUMBER(G14))),AND(H14&lt;&gt;"",NOT(ISNUMBER(H14))),AND(J14&lt;&gt;"",NOT(ISNUMBER(J14)))),"Not a date",IF(OR(AND(G14&lt;&gt;"",N(G14)&gt;TODAY()),AND(H14&lt;&gt;"",N(H14)&gt;TODAY())),"Date in the future",IF(H14&lt;&gt;"",IF(G14="","Start date needed","✓ Complete"),IF(AND(IF(H14&lt;&gt;"",H14,IF(J14&lt;&gt;"",J14,D14))&lt;&gt;"",S14&lt;&gt;"",IF(H14&lt;&gt;"",H14,IF(J14&lt;&gt;"",J14,D14))&gt;S14,K14="",L14=""),"Reason needed",IF(AND(G14="",OR(N(I14)&gt;0,AND(C14&lt;&gt;"",C14&lt;DATE(2024,6,30),X14=0))),"Start date needed",IF(AND(IF(H14&lt;&gt;"",H14,IF(J14&lt;&gt;"",J14,D14))&lt;&gt;"",IF(H14&lt;&gt;"",H14,IF(J14&lt;&gt;"",J14,D14))&lt;DATE(2024,6,30)),"Finish date needed",IF(X14=1,"✓ Updated","Not changed yet")))))))</f>
        <v>✓ Complete</v>
      </c>
      <c r="P14" t="inlineStr">
        <is>
          <t>Completed</t>
        </is>
      </c>
      <c r="Q14" t="inlineStr"/>
      <c r="R14" s="91" t="n">
        <v>45424</v>
      </c>
      <c r="S14" s="91" t="n">
        <v>45428</v>
      </c>
      <c r="T14" s="91" t="n">
        <v>45424</v>
      </c>
      <c r="U14" s="91" t="n">
        <v>45428</v>
      </c>
      <c r="V14" s="92" t="n"/>
      <c r="W14" s="91" t="n"/>
      <c r="X14">
        <f>IF(OR(G14&lt;&gt;T14,H14&lt;&gt;U14,I14&lt;&gt;V14,J14&lt;&gt;W14,K14&lt;&gt;"",L14&lt;&gt;""),1,0)</f>
        <v>0</v>
      </c>
      <c r="Z14" s="91" t="n">
        <v>45428</v>
      </c>
    </row>
    <row r="15">
      <c r="A15" s="80" t="inlineStr">
        <is>
          <t>A1290</t>
        </is>
      </c>
      <c r="B15" s="80" t="inlineStr">
        <is>
          <t>Build package 29</t>
        </is>
      </c>
      <c r="C15" s="81" t="n">
        <v>45436</v>
      </c>
      <c r="D15" s="81" t="n">
        <v>45439</v>
      </c>
      <c r="E15" s="82" t="n">
        <v>5</v>
      </c>
      <c r="F15" s="83" t="n">
        <v>100</v>
      </c>
      <c r="G15" s="84" t="n">
        <v>45436</v>
      </c>
      <c r="H15" s="84" t="n">
        <v>45439</v>
      </c>
      <c r="I15" s="85" t="n"/>
      <c r="J15" s="84" t="n"/>
      <c r="K15" s="86" t="n"/>
      <c r="L15" s="87" t="n"/>
      <c r="M15" s="88">
        <f>IFERROR(IF(OR(D15="",IF(H15&lt;&gt;"",H15,IF(J15&lt;&gt;"",J15,D15))=""),"",IF(H15&lt;&gt;"",H15,IF(J15&lt;&gt;"",J15,D15))-D15),"")</f>
        <v>0</v>
      </c>
      <c r="N15" s="89">
        <f>IFERROR(IF(OR(S15="",IF(H15&lt;&gt;"",H15,IF(J15&lt;&gt;"",J15,D15))=""),"",MAX(0,IF(H15&lt;&gt;"",H15,IF(J15&lt;&gt;"",J15,D15))-S15)),"")</f>
        <v>0</v>
      </c>
      <c r="O15" s="90" t="str">
        <f>IF(OR(AND(G15&lt;&gt;"",NOT(ISNUMBER(G15))),AND(H15&lt;&gt;"",NOT(ISNUMBER(H15))),AND(J15&lt;&gt;"",NOT(ISNUMBER(J15)))),"Not a date",IF(OR(AND(G15&lt;&gt;"",N(G15)&gt;TODAY()),AND(H15&lt;&gt;"",N(H15)&gt;TODAY())),"Date in the future",IF(H15&lt;&gt;"",IF(G15="","Start date needed","✓ Complete"),IF(AND(IF(H15&lt;&gt;"",H15,IF(J15&lt;&gt;"",J15,D15))&lt;&gt;"",S15&lt;&gt;"",IF(H15&lt;&gt;"",H15,IF(J15&lt;&gt;"",J15,D15))&gt;S15,K15="",L15=""),"Reason needed",IF(AND(G15="",OR(N(I15)&gt;0,AND(C15&lt;&gt;"",C15&lt;DATE(2024,6,30),X15=0))),"Start date needed",IF(AND(IF(H15&lt;&gt;"",H15,IF(J15&lt;&gt;"",J15,D15))&lt;&gt;"",IF(H15&lt;&gt;"",H15,IF(J15&lt;&gt;"",J15,D15))&lt;DATE(2024,6,30)),"Finish date needed",IF(X15=1,"✓ Updated","Not changed yet")))))))</f>
        <v>✓ Complete</v>
      </c>
      <c r="P15" t="inlineStr">
        <is>
          <t>Completed</t>
        </is>
      </c>
      <c r="Q15" t="inlineStr"/>
      <c r="R15" s="91" t="n">
        <v>45436</v>
      </c>
      <c r="S15" s="91" t="n">
        <v>45439</v>
      </c>
      <c r="T15" s="91" t="n">
        <v>45436</v>
      </c>
      <c r="U15" s="91" t="n">
        <v>45439</v>
      </c>
      <c r="V15" s="92" t="n"/>
      <c r="W15" s="91" t="n"/>
      <c r="X15">
        <f>IF(OR(G15&lt;&gt;T15,H15&lt;&gt;U15,I15&lt;&gt;V15,J15&lt;&gt;W15,K15&lt;&gt;"",L15&lt;&gt;""),1,0)</f>
        <v>0</v>
      </c>
      <c r="Z15" s="91" t="n">
        <v>45439</v>
      </c>
    </row>
    <row r="16">
      <c r="A16" s="80" t="inlineStr">
        <is>
          <t>A1310</t>
        </is>
      </c>
      <c r="B16" s="80" t="inlineStr">
        <is>
          <t>Build package 31</t>
        </is>
      </c>
      <c r="C16" s="81" t="n">
        <v>45444</v>
      </c>
      <c r="D16" s="81" t="n">
        <v>45451</v>
      </c>
      <c r="E16" s="82" t="n">
        <v>-3</v>
      </c>
      <c r="F16" s="83" t="n">
        <v>100</v>
      </c>
      <c r="G16" s="84" t="n">
        <v>45444</v>
      </c>
      <c r="H16" s="84" t="n">
        <v>45451</v>
      </c>
      <c r="I16" s="85" t="n"/>
      <c r="J16" s="84" t="n"/>
      <c r="K16" s="86" t="n"/>
      <c r="L16" s="87" t="n"/>
      <c r="M16" s="88">
        <f>IFERROR(IF(OR(D16="",IF(H16&lt;&gt;"",H16,IF(J16&lt;&gt;"",J16,D16))=""),"",IF(H16&lt;&gt;"",H16,IF(J16&lt;&gt;"",J16,D16))-D16),"")</f>
        <v>0</v>
      </c>
      <c r="N16" s="89">
        <f>IFERROR(IF(OR(S16="",IF(H16&lt;&gt;"",H16,IF(J16&lt;&gt;"",J16,D16))=""),"",MAX(0,IF(H16&lt;&gt;"",H16,IF(J16&lt;&gt;"",J16,D16))-S16)),"")</f>
        <v>0</v>
      </c>
      <c r="O16" s="90" t="str">
        <f>IF(OR(AND(G16&lt;&gt;"",NOT(ISNUMBER(G16))),AND(H16&lt;&gt;"",NOT(ISNUMBER(H16))),AND(J16&lt;&gt;"",NOT(ISNUMBER(J16)))),"Not a date",IF(OR(AND(G16&lt;&gt;"",N(G16)&gt;TODAY()),AND(H16&lt;&gt;"",N(H16)&gt;TODAY())),"Date in the future",IF(H16&lt;&gt;"",IF(G16="","Start date needed","✓ Complete"),IF(AND(IF(H16&lt;&gt;"",H16,IF(J16&lt;&gt;"",J16,D16))&lt;&gt;"",S16&lt;&gt;"",IF(H16&lt;&gt;"",H16,IF(J16&lt;&gt;"",J16,D16))&gt;S16,K16="",L16=""),"Reason needed",IF(AND(G16="",OR(N(I16)&gt;0,AND(C16&lt;&gt;"",C16&lt;DATE(2024,6,30),X16=0))),"Start date needed",IF(AND(IF(H16&lt;&gt;"",H16,IF(J16&lt;&gt;"",J16,D16))&lt;&gt;"",IF(H16&lt;&gt;"",H16,IF(J16&lt;&gt;"",J16,D16))&lt;DATE(2024,6,30)),"Finish date needed",IF(X16=1,"✓ Updated","Not changed yet")))))))</f>
        <v>✓ Complete</v>
      </c>
      <c r="P16" t="inlineStr">
        <is>
          <t>Completed</t>
        </is>
      </c>
      <c r="Q16" t="inlineStr"/>
      <c r="R16" s="91" t="n">
        <v>45444</v>
      </c>
      <c r="S16" s="91" t="n">
        <v>45451</v>
      </c>
      <c r="T16" s="91" t="n">
        <v>45444</v>
      </c>
      <c r="U16" s="91" t="n">
        <v>45451</v>
      </c>
      <c r="V16" s="92" t="n"/>
      <c r="W16" s="91" t="n"/>
      <c r="X16">
        <f>IF(OR(G16&lt;&gt;T16,H16&lt;&gt;U16,I16&lt;&gt;V16,J16&lt;&gt;W16,K16&lt;&gt;"",L16&lt;&gt;""),1,0)</f>
        <v>0</v>
      </c>
      <c r="Z16" s="91" t="n">
        <v>45451</v>
      </c>
    </row>
    <row r="17">
      <c r="A17" s="80" t="inlineStr">
        <is>
          <t>A1330</t>
        </is>
      </c>
      <c r="B17" s="80" t="inlineStr">
        <is>
          <t>Build package 33</t>
        </is>
      </c>
      <c r="C17" s="81" t="n">
        <v>45450</v>
      </c>
      <c r="D17" s="81" t="n">
        <v>45453</v>
      </c>
      <c r="E17" s="82" t="n">
        <v>50</v>
      </c>
      <c r="F17" s="83" t="n">
        <v>100</v>
      </c>
      <c r="G17" s="84" t="n">
        <v>45450</v>
      </c>
      <c r="H17" s="84" t="n">
        <v>45453</v>
      </c>
      <c r="I17" s="85" t="n"/>
      <c r="J17" s="84" t="n"/>
      <c r="K17" s="86" t="n"/>
      <c r="L17" s="87" t="n"/>
      <c r="M17" s="88">
        <f>IFERROR(IF(OR(D17="",IF(H17&lt;&gt;"",H17,IF(J17&lt;&gt;"",J17,D17))=""),"",IF(H17&lt;&gt;"",H17,IF(J17&lt;&gt;"",J17,D17))-D17),"")</f>
        <v>0</v>
      </c>
      <c r="N17" s="89">
        <f>IFERROR(IF(OR(S17="",IF(H17&lt;&gt;"",H17,IF(J17&lt;&gt;"",J17,D17))=""),"",MAX(0,IF(H17&lt;&gt;"",H17,IF(J17&lt;&gt;"",J17,D17))-S17)),"")</f>
        <v>0</v>
      </c>
      <c r="O17" s="90" t="str">
        <f>IF(OR(AND(G17&lt;&gt;"",NOT(ISNUMBER(G17))),AND(H17&lt;&gt;"",NOT(ISNUMBER(H17))),AND(J17&lt;&gt;"",NOT(ISNUMBER(J17)))),"Not a date",IF(OR(AND(G17&lt;&gt;"",N(G17)&gt;TODAY()),AND(H17&lt;&gt;"",N(H17)&gt;TODAY())),"Date in the future",IF(H17&lt;&gt;"",IF(G17="","Start date needed","✓ Complete"),IF(AND(IF(H17&lt;&gt;"",H17,IF(J17&lt;&gt;"",J17,D17))&lt;&gt;"",S17&lt;&gt;"",IF(H17&lt;&gt;"",H17,IF(J17&lt;&gt;"",J17,D17))&gt;S17,K17="",L17=""),"Reason needed",IF(AND(G17="",OR(N(I17)&gt;0,AND(C17&lt;&gt;"",C17&lt;DATE(2024,6,30),X17=0))),"Start date needed",IF(AND(IF(H17&lt;&gt;"",H17,IF(J17&lt;&gt;"",J17,D17))&lt;&gt;"",IF(H17&lt;&gt;"",H17,IF(J17&lt;&gt;"",J17,D17))&lt;DATE(2024,6,30)),"Finish date needed",IF(X17=1,"✓ Updated","Not changed yet")))))))</f>
        <v>✓ Complete</v>
      </c>
      <c r="P17" t="inlineStr">
        <is>
          <t>Completed</t>
        </is>
      </c>
      <c r="Q17" t="inlineStr"/>
      <c r="R17" s="91" t="n">
        <v>45450</v>
      </c>
      <c r="S17" s="91" t="n">
        <v>45453</v>
      </c>
      <c r="T17" s="91" t="n">
        <v>45450</v>
      </c>
      <c r="U17" s="91" t="n">
        <v>45453</v>
      </c>
      <c r="V17" s="92" t="n"/>
      <c r="W17" s="91" t="n"/>
      <c r="X17">
        <f>IF(OR(G17&lt;&gt;T17,H17&lt;&gt;U17,I17&lt;&gt;V17,J17&lt;&gt;W17,K17&lt;&gt;"",L17&lt;&gt;""),1,0)</f>
        <v>0</v>
      </c>
      <c r="Z17" s="91" t="n">
        <v>45453</v>
      </c>
    </row>
    <row r="18">
      <c r="A18" s="80" t="inlineStr">
        <is>
          <t>A1350</t>
        </is>
      </c>
      <c r="B18" s="80" t="inlineStr">
        <is>
          <t>Build package 35</t>
        </is>
      </c>
      <c r="C18" s="81" t="n">
        <v>45453</v>
      </c>
      <c r="D18" s="81" t="n">
        <v>45464</v>
      </c>
      <c r="E18" s="82" t="n">
        <v>0</v>
      </c>
      <c r="F18" s="83" t="n">
        <v>60</v>
      </c>
      <c r="G18" s="84" t="n">
        <v>45453</v>
      </c>
      <c r="H18" s="84" t="n"/>
      <c r="I18" s="85" t="n"/>
      <c r="J18" s="84" t="n"/>
      <c r="K18" s="86" t="n"/>
      <c r="L18" s="87" t="n"/>
      <c r="M18" s="88">
        <f>IFERROR(IF(OR(D18="",IF(H18&lt;&gt;"",H18,IF(J18&lt;&gt;"",J18,D18))=""),"",IF(H18&lt;&gt;"",H18,IF(J18&lt;&gt;"",J18,D18))-D18),"")</f>
        <v>0</v>
      </c>
      <c r="N18" s="89">
        <f>IFERROR(IF(OR(S18="",IF(H18&lt;&gt;"",H18,IF(J18&lt;&gt;"",J18,D18))=""),"",MAX(0,IF(H18&lt;&gt;"",H18,IF(J18&lt;&gt;"",J18,D18))-S18)),"")</f>
        <v>0</v>
      </c>
      <c r="O18" s="90" t="str">
        <f>IF(OR(AND(G18&lt;&gt;"",NOT(ISNUMBER(G18))),AND(H18&lt;&gt;"",NOT(ISNUMBER(H18))),AND(J18&lt;&gt;"",NOT(ISNUMBER(J18)))),"Not a date",IF(OR(AND(G18&lt;&gt;"",N(G18)&gt;TODAY()),AND(H18&lt;&gt;"",N(H18)&gt;TODAY())),"Date in the future",IF(H18&lt;&gt;"",IF(G18="","Start date needed","✓ Complete"),IF(AND(IF(H18&lt;&gt;"",H18,IF(J18&lt;&gt;"",J18,D18))&lt;&gt;"",S18&lt;&gt;"",IF(H18&lt;&gt;"",H18,IF(J18&lt;&gt;"",J18,D18))&gt;S18,K18="",L18=""),"Reason needed",IF(AND(G18="",OR(N(I18)&gt;0,AND(C18&lt;&gt;"",C18&lt;DATE(2024,6,30),X18=0))),"Start date needed",IF(AND(IF(H18&lt;&gt;"",H18,IF(J18&lt;&gt;"",J18,D18))&lt;&gt;"",IF(H18&lt;&gt;"",H18,IF(J18&lt;&gt;"",J18,D18))&lt;DATE(2024,6,30)),"Finish date needed",IF(X18=1,"✓ Updated","Not changed yet")))))))</f>
        <v>Finish date needed</v>
      </c>
      <c r="P18" t="inlineStr">
        <is>
          <t>In Progress</t>
        </is>
      </c>
      <c r="Q18" t="inlineStr">
        <is>
          <t>Yes</t>
        </is>
      </c>
      <c r="R18" s="91" t="n">
        <v>45453</v>
      </c>
      <c r="S18" s="91" t="n">
        <v>45464</v>
      </c>
      <c r="T18" s="91" t="n">
        <v>45453</v>
      </c>
      <c r="U18" s="91" t="n"/>
      <c r="V18" s="92" t="n"/>
      <c r="W18" s="91" t="n"/>
      <c r="X18">
        <f>IF(OR(G18&lt;&gt;T18,H18&lt;&gt;U18,I18&lt;&gt;V18,J18&lt;&gt;W18,K18&lt;&gt;"",L18&lt;&gt;""),1,0)</f>
        <v>0</v>
      </c>
      <c r="Z18" s="91" t="n">
        <v>45464</v>
      </c>
    </row>
    <row r="19">
      <c r="A19" s="80" t="inlineStr">
        <is>
          <t>A1370</t>
        </is>
      </c>
      <c r="B19" s="80" t="inlineStr">
        <is>
          <t>Build package 37</t>
        </is>
      </c>
      <c r="C19" s="81" t="n">
        <v>45468</v>
      </c>
      <c r="D19" s="81" t="n">
        <v>45475</v>
      </c>
      <c r="E19" s="82" t="n">
        <v>-3</v>
      </c>
      <c r="F19" s="83" t="n">
        <v>40</v>
      </c>
      <c r="G19" s="84" t="n">
        <v>45468</v>
      </c>
      <c r="H19" s="84" t="n"/>
      <c r="I19" s="85" t="n"/>
      <c r="J19" s="84" t="n"/>
      <c r="K19" s="86" t="n"/>
      <c r="L19" s="87" t="n"/>
      <c r="M19" s="88">
        <f>IFERROR(IF(OR(D19="",IF(H19&lt;&gt;"",H19,IF(J19&lt;&gt;"",J19,D19))=""),"",IF(H19&lt;&gt;"",H19,IF(J19&lt;&gt;"",J19,D19))-D19),"")</f>
        <v>0</v>
      </c>
      <c r="N19" s="89">
        <f>IFERROR(IF(OR(S19="",IF(H19&lt;&gt;"",H19,IF(J19&lt;&gt;"",J19,D19))=""),"",MAX(0,IF(H19&lt;&gt;"",H19,IF(J19&lt;&gt;"",J19,D19))-S19)),"")</f>
        <v>0</v>
      </c>
      <c r="O19" s="90" t="str">
        <f>IF(OR(AND(G19&lt;&gt;"",NOT(ISNUMBER(G19))),AND(H19&lt;&gt;"",NOT(ISNUMBER(H19))),AND(J19&lt;&gt;"",NOT(ISNUMBER(J19)))),"Not a date",IF(OR(AND(G19&lt;&gt;"",N(G19)&gt;TODAY()),AND(H19&lt;&gt;"",N(H19)&gt;TODAY())),"Date in the future",IF(H19&lt;&gt;"",IF(G19="","Start date needed","✓ Complete"),IF(AND(IF(H19&lt;&gt;"",H19,IF(J19&lt;&gt;"",J19,D19))&lt;&gt;"",S19&lt;&gt;"",IF(H19&lt;&gt;"",H19,IF(J19&lt;&gt;"",J19,D19))&gt;S19,K19="",L19=""),"Reason needed",IF(AND(G19="",OR(N(I19)&gt;0,AND(C19&lt;&gt;"",C19&lt;DATE(2024,6,30),X19=0))),"Start date needed",IF(AND(IF(H19&lt;&gt;"",H19,IF(J19&lt;&gt;"",J19,D19))&lt;&gt;"",IF(H19&lt;&gt;"",H19,IF(J19&lt;&gt;"",J19,D19))&lt;DATE(2024,6,30)),"Finish date needed",IF(X19=1,"✓ Updated","Not changed yet")))))))</f>
        <v>Not changed yet</v>
      </c>
      <c r="P19" t="inlineStr">
        <is>
          <t>In Progress</t>
        </is>
      </c>
      <c r="Q19" t="inlineStr">
        <is>
          <t>Yes</t>
        </is>
      </c>
      <c r="R19" s="91" t="n">
        <v>45468</v>
      </c>
      <c r="S19" s="91" t="n">
        <v>45475</v>
      </c>
      <c r="T19" s="91" t="n">
        <v>45468</v>
      </c>
      <c r="U19" s="91" t="n"/>
      <c r="V19" s="92" t="n"/>
      <c r="W19" s="91" t="n"/>
      <c r="X19">
        <f>IF(OR(G19&lt;&gt;T19,H19&lt;&gt;U19,I19&lt;&gt;V19,J19&lt;&gt;W19,K19&lt;&gt;"",L19&lt;&gt;""),1,0)</f>
        <v>0</v>
      </c>
      <c r="Z19" s="91" t="n">
        <v>45475</v>
      </c>
    </row>
    <row r="20">
      <c r="A20" s="80" t="inlineStr">
        <is>
          <t>A1390</t>
        </is>
      </c>
      <c r="B20" s="80" t="inlineStr">
        <is>
          <t>Build package 39</t>
        </is>
      </c>
      <c r="C20" s="81" t="n">
        <v>45478</v>
      </c>
      <c r="D20" s="81" t="n">
        <v>45548</v>
      </c>
      <c r="E20" s="82" t="n">
        <v>0</v>
      </c>
      <c r="F20" s="83" t="n">
        <v>0</v>
      </c>
      <c r="G20" s="84" t="n"/>
      <c r="H20" s="84" t="n"/>
      <c r="I20" s="85" t="n"/>
      <c r="J20" s="84" t="n"/>
      <c r="K20" s="86" t="n"/>
      <c r="L20" s="87" t="n"/>
      <c r="M20" s="88">
        <f>IFERROR(IF(OR(D20="",IF(H20&lt;&gt;"",H20,IF(J20&lt;&gt;"",J20,D20))=""),"",IF(H20&lt;&gt;"",H20,IF(J20&lt;&gt;"",J20,D20))-D20),"")</f>
        <v>0</v>
      </c>
      <c r="N20" s="89">
        <f>IFERROR(IF(OR(S20="",IF(H20&lt;&gt;"",H20,IF(J20&lt;&gt;"",J20,D20))=""),"",MAX(0,IF(H20&lt;&gt;"",H20,IF(J20&lt;&gt;"",J20,D20))-S20)),"")</f>
        <v>0</v>
      </c>
      <c r="O20" s="90" t="str">
        <f>IF(OR(AND(G20&lt;&gt;"",NOT(ISNUMBER(G20))),AND(H20&lt;&gt;"",NOT(ISNUMBER(H20))),AND(J20&lt;&gt;"",NOT(ISNUMBER(J20)))),"Not a date",IF(OR(AND(G20&lt;&gt;"",N(G20)&gt;TODAY()),AND(H20&lt;&gt;"",N(H20)&gt;TODAY())),"Date in the future",IF(H20&lt;&gt;"",IF(G20="","Start date needed","✓ Complete"),IF(AND(IF(H20&lt;&gt;"",H20,IF(J20&lt;&gt;"",J20,D20))&lt;&gt;"",S20&lt;&gt;"",IF(H20&lt;&gt;"",H20,IF(J20&lt;&gt;"",J20,D20))&gt;S20,K20="",L20=""),"Reason needed",IF(AND(G20="",OR(N(I20)&gt;0,AND(C20&lt;&gt;"",C20&lt;DATE(2024,6,30),X20=0))),"Start date needed",IF(AND(IF(H20&lt;&gt;"",H20,IF(J20&lt;&gt;"",J20,D20))&lt;&gt;"",IF(H20&lt;&gt;"",H20,IF(J20&lt;&gt;"",J20,D20))&lt;DATE(2024,6,30)),"Finish date needed",IF(X20=1,"✓ Updated","Not changed yet")))))))</f>
        <v>Not changed yet</v>
      </c>
      <c r="P20" t="inlineStr">
        <is>
          <t>Not Started</t>
        </is>
      </c>
      <c r="Q20" t="inlineStr">
        <is>
          <t>Yes</t>
        </is>
      </c>
      <c r="R20" s="91" t="n">
        <v>45478</v>
      </c>
      <c r="S20" s="91" t="n">
        <v>45548</v>
      </c>
      <c r="T20" s="91" t="n"/>
      <c r="U20" s="91" t="n"/>
      <c r="V20" s="92" t="n"/>
      <c r="W20" s="91" t="n"/>
      <c r="X20">
        <f>IF(OR(G20&lt;&gt;T20,H20&lt;&gt;U20,I20&lt;&gt;V20,J20&lt;&gt;W20,K20&lt;&gt;"",L20&lt;&gt;""),1,0)</f>
        <v>0</v>
      </c>
      <c r="Z20" s="91" t="n">
        <v>45548</v>
      </c>
    </row>
    <row r="21">
      <c r="A21" s="80" t="inlineStr">
        <is>
          <t>A1410</t>
        </is>
      </c>
      <c r="B21" s="80" t="inlineStr">
        <is>
          <t>Build package 41</t>
        </is>
      </c>
      <c r="C21" s="81" t="n">
        <v>45516</v>
      </c>
      <c r="D21" s="81" t="n">
        <v>45537</v>
      </c>
      <c r="E21" s="82" t="n">
        <v>0</v>
      </c>
      <c r="F21" s="83" t="n">
        <v>0</v>
      </c>
      <c r="G21" s="84" t="n"/>
      <c r="H21" s="84" t="n"/>
      <c r="I21" s="85" t="n"/>
      <c r="J21" s="84" t="n"/>
      <c r="K21" s="86" t="n"/>
      <c r="L21" s="87" t="n"/>
      <c r="M21" s="88">
        <f>IFERROR(IF(OR(D21="",IF(H21&lt;&gt;"",H21,IF(J21&lt;&gt;"",J21,D21))=""),"",IF(H21&lt;&gt;"",H21,IF(J21&lt;&gt;"",J21,D21))-D21),"")</f>
        <v>0</v>
      </c>
      <c r="N21" s="89">
        <f>IFERROR(IF(OR(S21="",IF(H21&lt;&gt;"",H21,IF(J21&lt;&gt;"",J21,D21))=""),"",MAX(0,IF(H21&lt;&gt;"",H21,IF(J21&lt;&gt;"",J21,D21))-S21)),"")</f>
        <v>0</v>
      </c>
      <c r="O21" s="90" t="str">
        <f>IF(OR(AND(G21&lt;&gt;"",NOT(ISNUMBER(G21))),AND(H21&lt;&gt;"",NOT(ISNUMBER(H21))),AND(J21&lt;&gt;"",NOT(ISNUMBER(J21)))),"Not a date",IF(OR(AND(G21&lt;&gt;"",N(G21)&gt;TODAY()),AND(H21&lt;&gt;"",N(H21)&gt;TODAY())),"Date in the future",IF(H21&lt;&gt;"",IF(G21="","Start date needed","✓ Complete"),IF(AND(IF(H21&lt;&gt;"",H21,IF(J21&lt;&gt;"",J21,D21))&lt;&gt;"",S21&lt;&gt;"",IF(H21&lt;&gt;"",H21,IF(J21&lt;&gt;"",J21,D21))&gt;S21,K21="",L21=""),"Reason needed",IF(AND(G21="",OR(N(I21)&gt;0,AND(C21&lt;&gt;"",C21&lt;DATE(2024,6,30),X21=0))),"Start date needed",IF(AND(IF(H21&lt;&gt;"",H21,IF(J21&lt;&gt;"",J21,D21))&lt;&gt;"",IF(H21&lt;&gt;"",H21,IF(J21&lt;&gt;"",J21,D21))&lt;DATE(2024,6,30)),"Finish date needed",IF(X21=1,"✓ Updated","Not changed yet")))))))</f>
        <v>Not changed yet</v>
      </c>
      <c r="P21" t="inlineStr">
        <is>
          <t>Not Started</t>
        </is>
      </c>
      <c r="Q21" t="inlineStr">
        <is>
          <t>Yes</t>
        </is>
      </c>
      <c r="R21" s="91" t="n">
        <v>45516</v>
      </c>
      <c r="S21" s="91" t="n">
        <v>45537</v>
      </c>
      <c r="T21" s="91" t="n"/>
      <c r="U21" s="91" t="n"/>
      <c r="V21" s="92" t="n"/>
      <c r="W21" s="91" t="n"/>
      <c r="X21">
        <f>IF(OR(G21&lt;&gt;T21,H21&lt;&gt;U21,I21&lt;&gt;V21,J21&lt;&gt;W21,K21&lt;&gt;"",L21&lt;&gt;""),1,0)</f>
        <v>0</v>
      </c>
      <c r="Z21" s="91" t="n">
        <v>45537</v>
      </c>
    </row>
    <row r="22">
      <c r="A22" s="80" t="inlineStr">
        <is>
          <t>A1430</t>
        </is>
      </c>
      <c r="B22" s="80" t="inlineStr">
        <is>
          <t>Build package 43</t>
        </is>
      </c>
      <c r="C22" s="81" t="n">
        <v>45527</v>
      </c>
      <c r="D22" s="81" t="n">
        <v>45548</v>
      </c>
      <c r="E22" s="82" t="n">
        <v>-3</v>
      </c>
      <c r="F22" s="83" t="n">
        <v>0</v>
      </c>
      <c r="G22" s="84" t="n"/>
      <c r="H22" s="84" t="n"/>
      <c r="I22" s="85" t="n"/>
      <c r="J22" s="84" t="n"/>
      <c r="K22" s="86" t="n"/>
      <c r="L22" s="87" t="n"/>
      <c r="M22" s="88">
        <f>IFERROR(IF(OR(D22="",IF(H22&lt;&gt;"",H22,IF(J22&lt;&gt;"",J22,D22))=""),"",IF(H22&lt;&gt;"",H22,IF(J22&lt;&gt;"",J22,D22))-D22),"")</f>
        <v>0</v>
      </c>
      <c r="N22" s="89">
        <f>IFERROR(IF(OR(S22="",IF(H22&lt;&gt;"",H22,IF(J22&lt;&gt;"",J22,D22))=""),"",MAX(0,IF(H22&lt;&gt;"",H22,IF(J22&lt;&gt;"",J22,D22))-S22)),"")</f>
        <v>0</v>
      </c>
      <c r="O22" s="90" t="str">
        <f>IF(OR(AND(G22&lt;&gt;"",NOT(ISNUMBER(G22))),AND(H22&lt;&gt;"",NOT(ISNUMBER(H22))),AND(J22&lt;&gt;"",NOT(ISNUMBER(J22)))),"Not a date",IF(OR(AND(G22&lt;&gt;"",N(G22)&gt;TODAY()),AND(H22&lt;&gt;"",N(H22)&gt;TODAY())),"Date in the future",IF(H22&lt;&gt;"",IF(G22="","Start date needed","✓ Complete"),IF(AND(IF(H22&lt;&gt;"",H22,IF(J22&lt;&gt;"",J22,D22))&lt;&gt;"",S22&lt;&gt;"",IF(H22&lt;&gt;"",H22,IF(J22&lt;&gt;"",J22,D22))&gt;S22,K22="",L22=""),"Reason needed",IF(AND(G22="",OR(N(I22)&gt;0,AND(C22&lt;&gt;"",C22&lt;DATE(2024,6,30),X22=0))),"Start date needed",IF(AND(IF(H22&lt;&gt;"",H22,IF(J22&lt;&gt;"",J22,D22))&lt;&gt;"",IF(H22&lt;&gt;"",H22,IF(J22&lt;&gt;"",J22,D22))&lt;DATE(2024,6,30)),"Finish date needed",IF(X22=1,"✓ Updated","Not changed yet")))))))</f>
        <v>Not changed yet</v>
      </c>
      <c r="P22" t="inlineStr">
        <is>
          <t>Not Started</t>
        </is>
      </c>
      <c r="Q22" t="inlineStr">
        <is>
          <t>Yes</t>
        </is>
      </c>
      <c r="R22" s="91" t="n">
        <v>45527</v>
      </c>
      <c r="S22" s="91" t="n">
        <v>45548</v>
      </c>
      <c r="T22" s="91" t="n"/>
      <c r="U22" s="91" t="n"/>
      <c r="V22" s="92" t="n"/>
      <c r="W22" s="91" t="n"/>
      <c r="X22">
        <f>IF(OR(G22&lt;&gt;T22,H22&lt;&gt;U22,I22&lt;&gt;V22,J22&lt;&gt;W22,K22&lt;&gt;"",L22&lt;&gt;""),1,0)</f>
        <v>0</v>
      </c>
      <c r="Z22" s="91" t="n">
        <v>45548</v>
      </c>
    </row>
    <row r="23">
      <c r="A23" s="80" t="inlineStr">
        <is>
          <t>A1450</t>
        </is>
      </c>
      <c r="B23" s="80" t="inlineStr">
        <is>
          <t>Build package 45</t>
        </is>
      </c>
      <c r="C23" s="81" t="n">
        <v>45540</v>
      </c>
      <c r="D23" s="81" t="n">
        <v>45561</v>
      </c>
      <c r="E23" s="82" t="n">
        <v>10</v>
      </c>
      <c r="F23" s="83" t="n">
        <v>0</v>
      </c>
      <c r="G23" s="84" t="n"/>
      <c r="H23" s="84" t="n"/>
      <c r="I23" s="85" t="n"/>
      <c r="J23" s="84" t="n"/>
      <c r="K23" s="86" t="n"/>
      <c r="L23" s="87" t="n"/>
      <c r="M23" s="88">
        <f>IFERROR(IF(OR(D23="",IF(H23&lt;&gt;"",H23,IF(J23&lt;&gt;"",J23,D23))=""),"",IF(H23&lt;&gt;"",H23,IF(J23&lt;&gt;"",J23,D23))-D23),"")</f>
        <v>0</v>
      </c>
      <c r="N23" s="89">
        <f>IFERROR(IF(OR(S23="",IF(H23&lt;&gt;"",H23,IF(J23&lt;&gt;"",J23,D23))=""),"",MAX(0,IF(H23&lt;&gt;"",H23,IF(J23&lt;&gt;"",J23,D23))-S23)),"")</f>
        <v>0</v>
      </c>
      <c r="O23" s="90" t="str">
        <f>IF(OR(AND(G23&lt;&gt;"",NOT(ISNUMBER(G23))),AND(H23&lt;&gt;"",NOT(ISNUMBER(H23))),AND(J23&lt;&gt;"",NOT(ISNUMBER(J23)))),"Not a date",IF(OR(AND(G23&lt;&gt;"",N(G23)&gt;TODAY()),AND(H23&lt;&gt;"",N(H23)&gt;TODAY())),"Date in the future",IF(H23&lt;&gt;"",IF(G23="","Start date needed","✓ Complete"),IF(AND(IF(H23&lt;&gt;"",H23,IF(J23&lt;&gt;"",J23,D23))&lt;&gt;"",S23&lt;&gt;"",IF(H23&lt;&gt;"",H23,IF(J23&lt;&gt;"",J23,D23))&gt;S23,K23="",L23=""),"Reason needed",IF(AND(G23="",OR(N(I23)&gt;0,AND(C23&lt;&gt;"",C23&lt;DATE(2024,6,30),X23=0))),"Start date needed",IF(AND(IF(H23&lt;&gt;"",H23,IF(J23&lt;&gt;"",J23,D23))&lt;&gt;"",IF(H23&lt;&gt;"",H23,IF(J23&lt;&gt;"",J23,D23))&lt;DATE(2024,6,30)),"Finish date needed",IF(X23=1,"✓ Updated","Not changed yet")))))))</f>
        <v>Not changed yet</v>
      </c>
      <c r="P23" t="inlineStr">
        <is>
          <t>Not Started</t>
        </is>
      </c>
      <c r="Q23" t="inlineStr"/>
      <c r="R23" s="91" t="n">
        <v>45540</v>
      </c>
      <c r="S23" s="91" t="n">
        <v>45561</v>
      </c>
      <c r="T23" s="91" t="n"/>
      <c r="U23" s="91" t="n"/>
      <c r="V23" s="92" t="n"/>
      <c r="W23" s="91" t="n"/>
      <c r="X23">
        <f>IF(OR(G23&lt;&gt;T23,H23&lt;&gt;U23,I23&lt;&gt;V23,J23&lt;&gt;W23,K23&lt;&gt;"",L23&lt;&gt;""),1,0)</f>
        <v>0</v>
      </c>
      <c r="Z23" s="91" t="n">
        <v>45561</v>
      </c>
    </row>
    <row r="24">
      <c r="A24" s="80" t="inlineStr">
        <is>
          <t>A1470</t>
        </is>
      </c>
      <c r="B24" s="80" t="inlineStr">
        <is>
          <t>Build package 47</t>
        </is>
      </c>
      <c r="C24" s="81" t="n">
        <v>45551</v>
      </c>
      <c r="D24" s="81" t="n">
        <v>45558</v>
      </c>
      <c r="E24" s="82" t="n">
        <v>0</v>
      </c>
      <c r="F24" s="83" t="n">
        <v>0</v>
      </c>
      <c r="G24" s="84" t="n"/>
      <c r="H24" s="84" t="n"/>
      <c r="I24" s="85" t="n"/>
      <c r="J24" s="84" t="n"/>
      <c r="K24" s="86" t="n"/>
      <c r="L24" s="87" t="n"/>
      <c r="M24" s="88">
        <f>IFERROR(IF(OR(D24="",IF(H24&lt;&gt;"",H24,IF(J24&lt;&gt;"",J24,D24))=""),"",IF(H24&lt;&gt;"",H24,IF(J24&lt;&gt;"",J24,D24))-D24),"")</f>
        <v>0</v>
      </c>
      <c r="N24" s="89">
        <f>IFERROR(IF(OR(S24="",IF(H24&lt;&gt;"",H24,IF(J24&lt;&gt;"",J24,D24))=""),"",MAX(0,IF(H24&lt;&gt;"",H24,IF(J24&lt;&gt;"",J24,D24))-S24)),"")</f>
        <v>0</v>
      </c>
      <c r="O24" s="90" t="str">
        <f>IF(OR(AND(G24&lt;&gt;"",NOT(ISNUMBER(G24))),AND(H24&lt;&gt;"",NOT(ISNUMBER(H24))),AND(J24&lt;&gt;"",NOT(ISNUMBER(J24)))),"Not a date",IF(OR(AND(G24&lt;&gt;"",N(G24)&gt;TODAY()),AND(H24&lt;&gt;"",N(H24)&gt;TODAY())),"Date in the future",IF(H24&lt;&gt;"",IF(G24="","Start date needed","✓ Complete"),IF(AND(IF(H24&lt;&gt;"",H24,IF(J24&lt;&gt;"",J24,D24))&lt;&gt;"",S24&lt;&gt;"",IF(H24&lt;&gt;"",H24,IF(J24&lt;&gt;"",J24,D24))&gt;S24,K24="",L24=""),"Reason needed",IF(AND(G24="",OR(N(I24)&gt;0,AND(C24&lt;&gt;"",C24&lt;DATE(2024,6,30),X24=0))),"Start date needed",IF(AND(IF(H24&lt;&gt;"",H24,IF(J24&lt;&gt;"",J24,D24))&lt;&gt;"",IF(H24&lt;&gt;"",H24,IF(J24&lt;&gt;"",J24,D24))&lt;DATE(2024,6,30)),"Finish date needed",IF(X24=1,"✓ Updated","Not changed yet")))))))</f>
        <v>Not changed yet</v>
      </c>
      <c r="P24" t="inlineStr">
        <is>
          <t>Not Started</t>
        </is>
      </c>
      <c r="Q24" t="inlineStr">
        <is>
          <t>Yes</t>
        </is>
      </c>
      <c r="R24" s="91" t="n">
        <v>45551</v>
      </c>
      <c r="S24" s="91" t="n">
        <v>45558</v>
      </c>
      <c r="T24" s="91" t="n"/>
      <c r="U24" s="91" t="n"/>
      <c r="V24" s="92" t="n"/>
      <c r="W24" s="91" t="n"/>
      <c r="X24">
        <f>IF(OR(G24&lt;&gt;T24,H24&lt;&gt;U24,I24&lt;&gt;V24,J24&lt;&gt;W24,K24&lt;&gt;"",L24&lt;&gt;""),1,0)</f>
        <v>0</v>
      </c>
      <c r="Z24" s="91" t="n">
        <v>45558</v>
      </c>
    </row>
    <row r="25">
      <c r="A25" s="80" t="inlineStr">
        <is>
          <t>A1490</t>
        </is>
      </c>
      <c r="B25" s="80" t="inlineStr">
        <is>
          <t>Build package 49</t>
        </is>
      </c>
      <c r="C25" s="81" t="n">
        <v>45561</v>
      </c>
      <c r="D25" s="81" t="n">
        <v>45572</v>
      </c>
      <c r="E25" s="82" t="n">
        <v>0</v>
      </c>
      <c r="F25" s="83" t="n">
        <v>0</v>
      </c>
      <c r="G25" s="84" t="n"/>
      <c r="H25" s="84" t="n"/>
      <c r="I25" s="85" t="n"/>
      <c r="J25" s="84" t="n"/>
      <c r="K25" s="86" t="n"/>
      <c r="L25" s="87" t="n"/>
      <c r="M25" s="88">
        <f>IFERROR(IF(OR(D25="",IF(H25&lt;&gt;"",H25,IF(J25&lt;&gt;"",J25,D25))=""),"",IF(H25&lt;&gt;"",H25,IF(J25&lt;&gt;"",J25,D25))-D25),"")</f>
        <v>0</v>
      </c>
      <c r="N25" s="89">
        <f>IFERROR(IF(OR(S25="",IF(H25&lt;&gt;"",H25,IF(J25&lt;&gt;"",J25,D25))=""),"",MAX(0,IF(H25&lt;&gt;"",H25,IF(J25&lt;&gt;"",J25,D25))-S25)),"")</f>
        <v>0</v>
      </c>
      <c r="O25" s="90" t="str">
        <f>IF(OR(AND(G25&lt;&gt;"",NOT(ISNUMBER(G25))),AND(H25&lt;&gt;"",NOT(ISNUMBER(H25))),AND(J25&lt;&gt;"",NOT(ISNUMBER(J25)))),"Not a date",IF(OR(AND(G25&lt;&gt;"",N(G25)&gt;TODAY()),AND(H25&lt;&gt;"",N(H25)&gt;TODAY())),"Date in the future",IF(H25&lt;&gt;"",IF(G25="","Start date needed","✓ Complete"),IF(AND(IF(H25&lt;&gt;"",H25,IF(J25&lt;&gt;"",J25,D25))&lt;&gt;"",S25&lt;&gt;"",IF(H25&lt;&gt;"",H25,IF(J25&lt;&gt;"",J25,D25))&gt;S25,K25="",L25=""),"Reason needed",IF(AND(G25="",OR(N(I25)&gt;0,AND(C25&lt;&gt;"",C25&lt;DATE(2024,6,30),X25=0))),"Start date needed",IF(AND(IF(H25&lt;&gt;"",H25,IF(J25&lt;&gt;"",J25,D25))&lt;&gt;"",IF(H25&lt;&gt;"",H25,IF(J25&lt;&gt;"",J25,D25))&lt;DATE(2024,6,30)),"Finish date needed",IF(X25=1,"✓ Updated","Not changed yet")))))))</f>
        <v>Not changed yet</v>
      </c>
      <c r="P25" t="inlineStr">
        <is>
          <t>Not Started</t>
        </is>
      </c>
      <c r="Q25" t="inlineStr">
        <is>
          <t>Yes</t>
        </is>
      </c>
      <c r="R25" s="91" t="n">
        <v>45561</v>
      </c>
      <c r="S25" s="91" t="n">
        <v>45572</v>
      </c>
      <c r="T25" s="91" t="n"/>
      <c r="U25" s="91" t="n"/>
      <c r="V25" s="92" t="n"/>
      <c r="W25" s="91" t="n"/>
      <c r="X25">
        <f>IF(OR(G25&lt;&gt;T25,H25&lt;&gt;U25,I25&lt;&gt;V25,J25&lt;&gt;W25,K25&lt;&gt;"",L25&lt;&gt;""),1,0)</f>
        <v>0</v>
      </c>
      <c r="Z25" s="91" t="n">
        <v>45572</v>
      </c>
    </row>
    <row r="26">
      <c r="A26" s="80" t="inlineStr">
        <is>
          <t>A1510</t>
        </is>
      </c>
      <c r="B26" s="80" t="inlineStr">
        <is>
          <t>Build package 51</t>
        </is>
      </c>
      <c r="C26" s="81" t="n">
        <v>45568</v>
      </c>
      <c r="D26" s="81" t="n">
        <v>45572</v>
      </c>
      <c r="E26" s="82" t="n">
        <v>1</v>
      </c>
      <c r="F26" s="83" t="n">
        <v>0</v>
      </c>
      <c r="G26" s="84" t="n"/>
      <c r="H26" s="84" t="n"/>
      <c r="I26" s="85" t="n"/>
      <c r="J26" s="84" t="n"/>
      <c r="K26" s="86" t="n"/>
      <c r="L26" s="87" t="n"/>
      <c r="M26" s="88">
        <f>IFERROR(IF(OR(D26="",IF(H26&lt;&gt;"",H26,IF(J26&lt;&gt;"",J26,D26))=""),"",IF(H26&lt;&gt;"",H26,IF(J26&lt;&gt;"",J26,D26))-D26),"")</f>
        <v>0</v>
      </c>
      <c r="N26" s="89">
        <f>IFERROR(IF(OR(S26="",IF(H26&lt;&gt;"",H26,IF(J26&lt;&gt;"",J26,D26))=""),"",MAX(0,IF(H26&lt;&gt;"",H26,IF(J26&lt;&gt;"",J26,D26))-S26)),"")</f>
        <v>0</v>
      </c>
      <c r="O26" s="90" t="str">
        <f>IF(OR(AND(G26&lt;&gt;"",NOT(ISNUMBER(G26))),AND(H26&lt;&gt;"",NOT(ISNUMBER(H26))),AND(J26&lt;&gt;"",NOT(ISNUMBER(J26)))),"Not a date",IF(OR(AND(G26&lt;&gt;"",N(G26)&gt;TODAY()),AND(H26&lt;&gt;"",N(H26)&gt;TODAY())),"Date in the future",IF(H26&lt;&gt;"",IF(G26="","Start date needed","✓ Complete"),IF(AND(IF(H26&lt;&gt;"",H26,IF(J26&lt;&gt;"",J26,D26))&lt;&gt;"",S26&lt;&gt;"",IF(H26&lt;&gt;"",H26,IF(J26&lt;&gt;"",J26,D26))&gt;S26,K26="",L26=""),"Reason needed",IF(AND(G26="",OR(N(I26)&gt;0,AND(C26&lt;&gt;"",C26&lt;DATE(2024,6,30),X26=0))),"Start date needed",IF(AND(IF(H26&lt;&gt;"",H26,IF(J26&lt;&gt;"",J26,D26))&lt;&gt;"",IF(H26&lt;&gt;"",H26,IF(J26&lt;&gt;"",J26,D26))&lt;DATE(2024,6,30)),"Finish date needed",IF(X26=1,"✓ Updated","Not changed yet")))))))</f>
        <v>Not changed yet</v>
      </c>
      <c r="P26" t="inlineStr">
        <is>
          <t>Not Started</t>
        </is>
      </c>
      <c r="Q26" t="inlineStr"/>
      <c r="R26" s="91" t="n">
        <v>45568</v>
      </c>
      <c r="S26" s="91" t="n">
        <v>45572</v>
      </c>
      <c r="T26" s="91" t="n"/>
      <c r="U26" s="91" t="n"/>
      <c r="V26" s="92" t="n"/>
      <c r="W26" s="91" t="n"/>
      <c r="X26">
        <f>IF(OR(G26&lt;&gt;T26,H26&lt;&gt;U26,I26&lt;&gt;V26,J26&lt;&gt;W26,K26&lt;&gt;"",L26&lt;&gt;""),1,0)</f>
        <v>0</v>
      </c>
      <c r="Z26" s="91" t="n">
        <v>45572</v>
      </c>
    </row>
    <row r="27">
      <c r="A27" s="80" t="inlineStr">
        <is>
          <t>A1530</t>
        </is>
      </c>
      <c r="B27" s="80" t="inlineStr">
        <is>
          <t>Build package 53</t>
        </is>
      </c>
      <c r="C27" s="81" t="n">
        <v>45575</v>
      </c>
      <c r="D27" s="81" t="n">
        <v>45645</v>
      </c>
      <c r="E27" s="82" t="n">
        <v>-3</v>
      </c>
      <c r="F27" s="83" t="n">
        <v>0</v>
      </c>
      <c r="G27" s="84" t="n"/>
      <c r="H27" s="84" t="n"/>
      <c r="I27" s="85" t="n"/>
      <c r="J27" s="84" t="n"/>
      <c r="K27" s="86" t="n"/>
      <c r="L27" s="87" t="n"/>
      <c r="M27" s="88">
        <f>IFERROR(IF(OR(D27="",IF(H27&lt;&gt;"",H27,IF(J27&lt;&gt;"",J27,D27))=""),"",IF(H27&lt;&gt;"",H27,IF(J27&lt;&gt;"",J27,D27))-D27),"")</f>
        <v>0</v>
      </c>
      <c r="N27" s="89">
        <f>IFERROR(IF(OR(S27="",IF(H27&lt;&gt;"",H27,IF(J27&lt;&gt;"",J27,D27))=""),"",MAX(0,IF(H27&lt;&gt;"",H27,IF(J27&lt;&gt;"",J27,D27))-S27)),"")</f>
        <v>0</v>
      </c>
      <c r="O27" s="90" t="str">
        <f>IF(OR(AND(G27&lt;&gt;"",NOT(ISNUMBER(G27))),AND(H27&lt;&gt;"",NOT(ISNUMBER(H27))),AND(J27&lt;&gt;"",NOT(ISNUMBER(J27)))),"Not a date",IF(OR(AND(G27&lt;&gt;"",N(G27)&gt;TODAY()),AND(H27&lt;&gt;"",N(H27)&gt;TODAY())),"Date in the future",IF(H27&lt;&gt;"",IF(G27="","Start date needed","✓ Complete"),IF(AND(IF(H27&lt;&gt;"",H27,IF(J27&lt;&gt;"",J27,D27))&lt;&gt;"",S27&lt;&gt;"",IF(H27&lt;&gt;"",H27,IF(J27&lt;&gt;"",J27,D27))&gt;S27,K27="",L27=""),"Reason needed",IF(AND(G27="",OR(N(I27)&gt;0,AND(C27&lt;&gt;"",C27&lt;DATE(2024,6,30),X27=0))),"Start date needed",IF(AND(IF(H27&lt;&gt;"",H27,IF(J27&lt;&gt;"",J27,D27))&lt;&gt;"",IF(H27&lt;&gt;"",H27,IF(J27&lt;&gt;"",J27,D27))&lt;DATE(2024,6,30)),"Finish date needed",IF(X27=1,"✓ Updated","Not changed yet")))))))</f>
        <v>Not changed yet</v>
      </c>
      <c r="P27" t="inlineStr">
        <is>
          <t>Not Started</t>
        </is>
      </c>
      <c r="Q27" t="inlineStr">
        <is>
          <t>Yes</t>
        </is>
      </c>
      <c r="R27" s="91" t="n">
        <v>45575</v>
      </c>
      <c r="S27" s="91" t="n">
        <v>45645</v>
      </c>
      <c r="T27" s="91" t="n"/>
      <c r="U27" s="91" t="n"/>
      <c r="V27" s="92" t="n"/>
      <c r="W27" s="91" t="n"/>
      <c r="X27">
        <f>IF(OR(G27&lt;&gt;T27,H27&lt;&gt;U27,I27&lt;&gt;V27,J27&lt;&gt;W27,K27&lt;&gt;"",L27&lt;&gt;""),1,0)</f>
        <v>0</v>
      </c>
      <c r="Z27" s="91" t="n">
        <v>45645</v>
      </c>
    </row>
    <row r="28">
      <c r="A28" s="80" t="inlineStr">
        <is>
          <t>A1550</t>
        </is>
      </c>
      <c r="B28" s="80" t="inlineStr">
        <is>
          <t>Build package 55</t>
        </is>
      </c>
      <c r="C28" s="81" t="n">
        <v>45611</v>
      </c>
      <c r="D28" s="81" t="n">
        <v>45622</v>
      </c>
      <c r="E28" s="82" t="n">
        <v>50</v>
      </c>
      <c r="F28" s="83" t="n">
        <v>0</v>
      </c>
      <c r="G28" s="84" t="n"/>
      <c r="H28" s="84" t="n"/>
      <c r="I28" s="85" t="n"/>
      <c r="J28" s="84" t="n"/>
      <c r="K28" s="86" t="n"/>
      <c r="L28" s="87" t="n"/>
      <c r="M28" s="88">
        <f>IFERROR(IF(OR(D28="",IF(H28&lt;&gt;"",H28,IF(J28&lt;&gt;"",J28,D28))=""),"",IF(H28&lt;&gt;"",H28,IF(J28&lt;&gt;"",J28,D28))-D28),"")</f>
        <v>0</v>
      </c>
      <c r="N28" s="89">
        <f>IFERROR(IF(OR(S28="",IF(H28&lt;&gt;"",H28,IF(J28&lt;&gt;"",J28,D28))=""),"",MAX(0,IF(H28&lt;&gt;"",H28,IF(J28&lt;&gt;"",J28,D28))-S28)),"")</f>
        <v>0</v>
      </c>
      <c r="O28" s="90" t="str">
        <f>IF(OR(AND(G28&lt;&gt;"",NOT(ISNUMBER(G28))),AND(H28&lt;&gt;"",NOT(ISNUMBER(H28))),AND(J28&lt;&gt;"",NOT(ISNUMBER(J28)))),"Not a date",IF(OR(AND(G28&lt;&gt;"",N(G28)&gt;TODAY()),AND(H28&lt;&gt;"",N(H28)&gt;TODAY())),"Date in the future",IF(H28&lt;&gt;"",IF(G28="","Start date needed","✓ Complete"),IF(AND(IF(H28&lt;&gt;"",H28,IF(J28&lt;&gt;"",J28,D28))&lt;&gt;"",S28&lt;&gt;"",IF(H28&lt;&gt;"",H28,IF(J28&lt;&gt;"",J28,D28))&gt;S28,K28="",L28=""),"Reason needed",IF(AND(G28="",OR(N(I28)&gt;0,AND(C28&lt;&gt;"",C28&lt;DATE(2024,6,30),X28=0))),"Start date needed",IF(AND(IF(H28&lt;&gt;"",H28,IF(J28&lt;&gt;"",J28,D28))&lt;&gt;"",IF(H28&lt;&gt;"",H28,IF(J28&lt;&gt;"",J28,D28))&lt;DATE(2024,6,30)),"Finish date needed",IF(X28=1,"✓ Updated","Not changed yet")))))))</f>
        <v>Not changed yet</v>
      </c>
      <c r="P28" t="inlineStr">
        <is>
          <t>Not Started</t>
        </is>
      </c>
      <c r="Q28" t="inlineStr"/>
      <c r="R28" s="91" t="n">
        <v>45611</v>
      </c>
      <c r="S28" s="91" t="n">
        <v>45622</v>
      </c>
      <c r="T28" s="91" t="n"/>
      <c r="U28" s="91" t="n"/>
      <c r="V28" s="92" t="n"/>
      <c r="W28" s="91" t="n"/>
      <c r="X28">
        <f>IF(OR(G28&lt;&gt;T28,H28&lt;&gt;U28,I28&lt;&gt;V28,J28&lt;&gt;W28,K28&lt;&gt;"",L28&lt;&gt;""),1,0)</f>
        <v>0</v>
      </c>
      <c r="Z28" s="91" t="n">
        <v>45622</v>
      </c>
    </row>
    <row r="29">
      <c r="A29" s="80" t="inlineStr">
        <is>
          <t>A1570</t>
        </is>
      </c>
      <c r="B29" s="80" t="inlineStr">
        <is>
          <t>Build package 57</t>
        </is>
      </c>
      <c r="C29" s="81" t="n">
        <v>45623</v>
      </c>
      <c r="D29" s="81" t="n">
        <v>45627</v>
      </c>
      <c r="E29" s="82" t="n">
        <v>50</v>
      </c>
      <c r="F29" s="83" t="n">
        <v>0</v>
      </c>
      <c r="G29" s="84" t="n"/>
      <c r="H29" s="84" t="n"/>
      <c r="I29" s="85" t="n"/>
      <c r="J29" s="84" t="n"/>
      <c r="K29" s="86" t="n"/>
      <c r="L29" s="87" t="n"/>
      <c r="M29" s="88">
        <f>IFERROR(IF(OR(D29="",IF(H29&lt;&gt;"",H29,IF(J29&lt;&gt;"",J29,D29))=""),"",IF(H29&lt;&gt;"",H29,IF(J29&lt;&gt;"",J29,D29))-D29),"")</f>
        <v>0</v>
      </c>
      <c r="N29" s="89">
        <f>IFERROR(IF(OR(S29="",IF(H29&lt;&gt;"",H29,IF(J29&lt;&gt;"",J29,D29))=""),"",MAX(0,IF(H29&lt;&gt;"",H29,IF(J29&lt;&gt;"",J29,D29))-S29)),"")</f>
        <v>0</v>
      </c>
      <c r="O29" s="90" t="str">
        <f>IF(OR(AND(G29&lt;&gt;"",NOT(ISNUMBER(G29))),AND(H29&lt;&gt;"",NOT(ISNUMBER(H29))),AND(J29&lt;&gt;"",NOT(ISNUMBER(J29)))),"Not a date",IF(OR(AND(G29&lt;&gt;"",N(G29)&gt;TODAY()),AND(H29&lt;&gt;"",N(H29)&gt;TODAY())),"Date in the future",IF(H29&lt;&gt;"",IF(G29="","Start date needed","✓ Complete"),IF(AND(IF(H29&lt;&gt;"",H29,IF(J29&lt;&gt;"",J29,D29))&lt;&gt;"",S29&lt;&gt;"",IF(H29&lt;&gt;"",H29,IF(J29&lt;&gt;"",J29,D29))&gt;S29,K29="",L29=""),"Reason needed",IF(AND(G29="",OR(N(I29)&gt;0,AND(C29&lt;&gt;"",C29&lt;DATE(2024,6,30),X29=0))),"Start date needed",IF(AND(IF(H29&lt;&gt;"",H29,IF(J29&lt;&gt;"",J29,D29))&lt;&gt;"",IF(H29&lt;&gt;"",H29,IF(J29&lt;&gt;"",J29,D29))&lt;DATE(2024,6,30)),"Finish date needed",IF(X29=1,"✓ Updated","Not changed yet")))))))</f>
        <v>Not changed yet</v>
      </c>
      <c r="P29" t="inlineStr">
        <is>
          <t>Not Started</t>
        </is>
      </c>
      <c r="Q29" t="inlineStr"/>
      <c r="R29" s="91" t="n">
        <v>45623</v>
      </c>
      <c r="S29" s="91" t="n">
        <v>45627</v>
      </c>
      <c r="T29" s="91" t="n"/>
      <c r="U29" s="91" t="n"/>
      <c r="V29" s="92" t="n"/>
      <c r="W29" s="91" t="n"/>
      <c r="X29">
        <f>IF(OR(G29&lt;&gt;T29,H29&lt;&gt;U29,I29&lt;&gt;V29,J29&lt;&gt;W29,K29&lt;&gt;"",L29&lt;&gt;""),1,0)</f>
        <v>0</v>
      </c>
      <c r="Z29" s="91" t="n">
        <v>45627</v>
      </c>
    </row>
  </sheetData>
  <sheetProtection selectLockedCells="0" selectUnlockedCells="0" sheet="1" objects="0" insertRows="1" insertHyperlinks="1" autoFilter="0" scenarios="0" formatColumns="0" deleteColumns="1" insertColumns="1" pivotTables="1" deleteRows="1" formatCells="1" formatRows="0" sort="0"/>
  <autoFilter ref="A9:O29"/>
  <mergeCells count="20">
    <mergeCell ref="C6:D6"/>
    <mergeCell ref="G6:I6"/>
    <mergeCell ref="J5:K5"/>
    <mergeCell ref="C5:D5"/>
    <mergeCell ref="E5:F5"/>
    <mergeCell ref="M6:O6"/>
    <mergeCell ref="A3:O3"/>
    <mergeCell ref="C4:D4"/>
    <mergeCell ref="E4:F4"/>
    <mergeCell ref="G5:I5"/>
    <mergeCell ref="J6:K6"/>
    <mergeCell ref="A8:F8"/>
    <mergeCell ref="G4:I4"/>
    <mergeCell ref="M8:O8"/>
    <mergeCell ref="J4:K4"/>
    <mergeCell ref="E6:F6"/>
    <mergeCell ref="M4:O4"/>
    <mergeCell ref="M5:O5"/>
    <mergeCell ref="G8:L8"/>
    <mergeCell ref="A4:B6"/>
  </mergeCells>
  <conditionalFormatting sqref="G5">
    <cfRule type="cellIs" priority="1" operator="greaterThan" dxfId="0">
      <formula>0</formula>
    </cfRule>
  </conditionalFormatting>
  <conditionalFormatting sqref="G10:G29">
    <cfRule type="expression" priority="2" dxfId="12">
      <formula>G10&lt;&gt;T10</formula>
    </cfRule>
  </conditionalFormatting>
  <conditionalFormatting sqref="H10:H29">
    <cfRule type="expression" priority="3" dxfId="12">
      <formula>H10&lt;&gt;U10</formula>
    </cfRule>
  </conditionalFormatting>
  <conditionalFormatting sqref="I10:I29">
    <cfRule type="expression" priority="4" dxfId="12">
      <formula>I10&lt;&gt;V10</formula>
    </cfRule>
    <cfRule type="dataBar" priority="10">
      <dataBar minLength="0" maxLength="100" showValue="1">
        <cfvo type="num" val="0"/>
        <cfvo type="num" val="100"/>
        <color rgb="0070AD47"/>
      </dataBar>
    </cfRule>
  </conditionalFormatting>
  <conditionalFormatting sqref="J10:J29">
    <cfRule type="expression" priority="5" dxfId="12">
      <formula>J10&lt;&gt;W10</formula>
    </cfRule>
  </conditionalFormatting>
  <conditionalFormatting sqref="K10:L29">
    <cfRule type="expression" priority="6" dxfId="8">
      <formula>K10&lt;&gt;""</formula>
    </cfRule>
  </conditionalFormatting>
  <conditionalFormatting sqref="A10:A29">
    <cfRule type="expression" priority="7" dxfId="3">
      <formula>$Q10="Yes"</formula>
    </cfRule>
  </conditionalFormatting>
  <conditionalFormatting sqref="E10:E29">
    <cfRule type="cellIs" priority="8" operator="lessThan" dxfId="13">
      <formula>0</formula>
    </cfRule>
  </conditionalFormatting>
  <conditionalFormatting sqref="F10:F29">
    <cfRule type="dataBar" priority="9">
      <dataBar minLength="0" maxLength="100" showValue="1">
        <cfvo type="num" val="0"/>
        <cfvo type="num" val="100"/>
        <color rgb="00A9C4EB"/>
      </dataBar>
    </cfRule>
  </conditionalFormatting>
  <conditionalFormatting sqref="M10:M29">
    <cfRule type="cellIs" priority="11" operator="greaterThan" dxfId="9">
      <formula>0</formula>
    </cfRule>
    <cfRule type="cellIs" priority="12" operator="lessThan" dxfId="5">
      <formula>0</formula>
    </cfRule>
  </conditionalFormatting>
  <conditionalFormatting sqref="N10:N29">
    <cfRule type="cellIs" priority="13" operator="greaterThan" dxfId="9">
      <formula>0</formula>
    </cfRule>
  </conditionalFormatting>
  <conditionalFormatting sqref="O10:O29">
    <cfRule type="expression" priority="14" dxfId="10">
      <formula>LEFT(O10,1)="✓"</formula>
    </cfRule>
    <cfRule type="expression" priority="15" dxfId="11">
      <formula>O10="Reason needed"</formula>
    </cfRule>
    <cfRule type="expression" priority="16" dxfId="11">
      <formula>O10="Start date needed"</formula>
    </cfRule>
    <cfRule type="expression" priority="17" dxfId="11">
      <formula>O10="Finish date needed"</formula>
    </cfRule>
    <cfRule type="expression" priority="18" dxfId="11">
      <formula>O10="Date in the future"</formula>
    </cfRule>
    <cfRule type="expression" priority="19" dxfId="11">
      <formula>O10="Not a date"</formula>
    </cfRule>
    <cfRule type="expression" priority="20" dxfId="6">
      <formula>O10="Not changed yet"</formula>
    </cfRule>
  </conditionalFormatting>
  <dataValidations count="6">
    <dataValidation sqref="G10:G29" showDropDown="0" showInputMessage="1" showErrorMessage="1" allowBlank="1" errorTitle="Not an actual start" error="An actual start is a date that has already happened - today or earlier - typed like 14 Oct 2026. If the work has not started yet, leave it empty." promptTitle="Actual start" prompt="The date the work really started (today or earlier). Leave empty if it has not." type="date" operator="between">
      <formula1>DATE(2000,1,1)</formula1>
      <formula2>TODAY()</formula2>
    </dataValidation>
    <dataValidation sqref="H10:H29" showDropDown="0" showInputMessage="1" showErrorMessage="1" allowBlank="1" errorTitle="Not an actual finish" error="An actual finish must be a date that has already happened (today or earlier) and not before the actual start. Not finished yet? Leave Actual finish empty and put the date you expect in Expected finish." promptTitle="Actual finish" prompt="The date the work really finished (today or earlier). Not finished? Leave it empty and use Expected finish." type="custom">
      <formula1>OR(H10="",AND(ISNUMBER(H10),H10&gt;DATE(2000,1,1),H10&lt;=TODAY(),OR(G10="",H10&gt;=G10)))</formula1>
    </dataValidation>
    <dataValidation sqref="I10:I29" showDropDown="0" showInputMessage="1" showErrorMessage="1" allowBlank="1" errorTitle="Not a percentage" error="Type a number from 0 to 100." promptTitle="Actual % complete" prompt="How complete this activity actually is now, 0 to 100." type="decimal" operator="between">
      <formula1>0</formula1>
      <formula2>100</formula2>
    </dataValidation>
    <dataValidation sqref="J10:J29" showDropDown="0" showInputMessage="1" showErrorMessage="1" allowBlank="1" errorTitle="Not a date" error="Type a date, like 14 Oct 2026." promptTitle="Expected finish" prompt="Only if the finish date is changing: when you now expect it to finish. Otherwise leave it empty." type="date" operator="greaterThan">
      <formula1>DATE(2000,1,1)</formula1>
    </dataValidation>
    <dataValidation sqref="K10:K29" showDropDown="0" showInputMessage="1" showErrorMessage="0" allowBlank="1" promptTitle="Delay cause" prompt="If it is late or moving: pick the main cause from the arrow, or type your own." type="list">
      <formula1>=CauseList</formula1>
    </dataValidation>
    <dataValidation sqref="L10:L29" showDropDown="0" showInputMessage="1" showErrorMessage="1" allowBlank="1" errorTitle="Too long" error="Please keep it under 1,000 characters." promptTitle="Notes" prompt="What is holding it up, and what is being done about it." type="textLength" operator="lessThanOrEqual">
      <formula1>1000</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C55A11"/>
    <outlinePr summaryBelow="1" summaryRight="1"/>
    <pageSetUpPr fitToPage="1"/>
  </sheetPr>
  <dimension ref="A1:Z64"/>
  <sheetViews>
    <sheetView showGridLines="0" zoomScale="90" workbookViewId="0">
      <pane xSplit="3" ySplit="9" topLeftCell="D10" activePane="bottomRight" state="frozen"/>
      <selection pane="topRight"/>
      <selection pane="bottomLeft"/>
      <selection pane="bottomRight" activeCell="A1" sqref="A1"/>
    </sheetView>
  </sheetViews>
  <sheetFormatPr baseColWidth="8" defaultRowHeight="15"/>
  <cols>
    <col width="15" customWidth="1" min="1" max="1"/>
    <col width="38" customWidth="1" min="2" max="2"/>
    <col width="30" customWidth="1" min="3" max="3"/>
    <col width="15" customWidth="1" min="4" max="4"/>
    <col width="12" customWidth="1" min="5" max="5"/>
    <col width="14" customWidth="1" min="6" max="6"/>
    <col width="10" customWidth="1" min="7" max="7"/>
    <col width="13" customWidth="1" min="8" max="8"/>
    <col width="12" customWidth="1" min="9" max="9"/>
    <col width="15" customWidth="1" min="10" max="10"/>
    <col width="14" customWidth="1" min="11" max="11"/>
    <col width="13" customWidth="1" min="12" max="12"/>
    <col width="12" customWidth="1" min="13" max="13"/>
    <col width="15" customWidth="1" min="14" max="14"/>
    <col width="14" customWidth="1" min="15" max="15"/>
    <col width="27" customWidth="1" min="16" max="16"/>
    <col hidden="1" width="4" customWidth="1" min="17" max="17"/>
    <col hidden="1" width="4" customWidth="1" min="18" max="18"/>
    <col hidden="1" width="4" customWidth="1" min="19" max="19"/>
    <col hidden="1" width="4" customWidth="1" min="20" max="20"/>
    <col hidden="1" width="4" customWidth="1" min="21" max="21"/>
    <col hidden="1" width="4" customWidth="1" min="22" max="22"/>
    <col hidden="1" width="4" customWidth="1" min="23" max="23"/>
    <col hidden="1" width="4" customWidth="1" min="24" max="24"/>
    <col hidden="1" width="4" customWidth="1" min="25" max="25"/>
    <col hidden="1" width="4" customWidth="1" min="26" max="26"/>
  </cols>
  <sheetData>
    <row r="1" ht="32" customHeight="1">
      <c r="A1" s="1" t="inlineStr">
        <is>
          <t>Resources &amp; cost</t>
        </is>
      </c>
      <c r="B1" s="3" t="n"/>
      <c r="C1" s="3" t="n"/>
      <c r="D1" s="3" t="n"/>
      <c r="E1" s="3" t="n"/>
      <c r="F1" s="3" t="n"/>
      <c r="G1" s="3" t="n"/>
      <c r="H1" s="3" t="n"/>
      <c r="I1" s="3" t="n"/>
      <c r="J1" s="3" t="n"/>
      <c r="K1" s="3" t="n"/>
      <c r="L1" s="3" t="n"/>
      <c r="M1" s="3" t="n"/>
      <c r="N1" s="3" t="n"/>
      <c r="O1" s="3" t="n"/>
      <c r="P1" s="3" t="n"/>
    </row>
    <row r="2" ht="22" customHeight="1">
      <c r="A2" s="4" t="inlineStr">
        <is>
          <t>SAMPLE-FITOUT   ·   data date 30 Jun 2024   ·   Whole programme   ·   resource units and costs to date   ·   costs in USD, as P6 exports them</t>
        </is>
      </c>
      <c r="B2" s="3" t="n"/>
      <c r="C2" s="3" t="n"/>
      <c r="D2" s="3" t="n"/>
      <c r="E2" s="3" t="n"/>
      <c r="F2" s="3" t="n"/>
      <c r="G2" s="3" t="n"/>
      <c r="H2" s="3" t="n"/>
      <c r="I2" s="3" t="n"/>
      <c r="J2" s="3" t="n"/>
      <c r="K2" s="3" t="n"/>
      <c r="L2" s="3" t="n"/>
      <c r="M2" s="3" t="n"/>
      <c r="N2" s="3" t="n"/>
      <c r="O2" s="3" t="n"/>
      <c r="P2" s="3" t="n"/>
    </row>
    <row r="3" ht="20" customHeight="1">
      <c r="A3" s="6" t="str">
        <f>IF(INFO("RECALC")="Automatic","","If these figures are struck through, or do not follow what is typed, Excel is calculating manually: press F9 to update them, or turn it on for good with Formulas › Calculation Options › Automatic.")</f>
        <v>If these figures are struck through, or do not follow what is typed, Excel is calculating manually: press F9 to update them, or turn it on for good with Formulas › Calculation Options › Automatic.</v>
      </c>
    </row>
    <row r="4" ht="30" customHeight="1">
      <c r="A4" s="59" t="inlineStr">
        <is>
          <t>1   Type over the white cells: totals to date, and what is still to come - costs in USD.
2   Remaining is 0 once the activity has finished.
3   Started or finished an activity on your sheet? Give its actuals here too.</t>
        </is>
      </c>
      <c r="B4" s="60" t="n"/>
      <c r="C4" s="93" t="inlineStr">
        <is>
          <t>ASSIGNMENTS</t>
        </is>
      </c>
      <c r="D4" s="13" t="inlineStr">
        <is>
          <t>UPDATED</t>
        </is>
      </c>
      <c r="E4" s="14" t="inlineStr">
        <is>
          <t>NEED SOMETHING FROM YOU</t>
        </is>
      </c>
      <c r="F4" s="12" t="n"/>
      <c r="G4" s="15" t="inlineStr">
        <is>
          <t>VARIANCE AT COMPLETION</t>
        </is>
      </c>
      <c r="H4" s="12" t="n"/>
      <c r="I4" s="62" t="inlineStr">
        <is>
          <t>Grey: the programme</t>
        </is>
      </c>
      <c r="J4" s="94" t="n"/>
      <c r="P4" s="63" t="str">
        <f>HYPERLINK("#Overview!C5","‹ Overview")</f>
        <v>‹ Overview</v>
      </c>
    </row>
    <row r="5" ht="30" customHeight="1">
      <c r="A5" s="60" t="n"/>
      <c r="B5" s="60" t="n"/>
      <c r="C5" s="95">
        <f>COUNTA($U$10:$U$64)</f>
        <v>51</v>
      </c>
      <c r="D5" s="22">
        <f>SUM($Z$10:$Z$64)</f>
        <v>0</v>
      </c>
      <c r="E5" s="23">
        <f>COUNTIF($P$10:$P$64,"Not a number")+COUNTIF($P$10:$P$64,"Negative value")+COUNTIF($P$10:$P$64,"Start date needed")+COUNTIF($P$10:$P$64,"Remaining on finished work")</f>
        <v>0</v>
      </c>
      <c r="F5" s="21" t="n"/>
      <c r="G5" s="96">
        <f>SUM($O$10:$O$64)</f>
        <v>0</v>
      </c>
      <c r="H5" s="21" t="n"/>
      <c r="I5" s="65" t="inlineStr">
        <is>
          <t>White: your update</t>
        </is>
      </c>
      <c r="J5" s="94" t="n"/>
    </row>
    <row r="6" ht="30" customHeight="1">
      <c r="A6" s="60" t="n"/>
      <c r="B6" s="60" t="n"/>
      <c r="C6" s="97" t="str">
        <f>"in this update"</f>
        <v>in this update</v>
      </c>
      <c r="D6" s="31" t="str">
        <f>IFERROR(TEXT(SUM($Z$10:$Z$64)/COUNTA($U$10:$U$64),"0%"),"0%")&amp;" done"</f>
        <v>0% done</v>
      </c>
      <c r="E6" s="32" t="str">
        <f>"red in the Check column"</f>
        <v>red in the Check column</v>
      </c>
      <c r="F6" s="30" t="n"/>
      <c r="G6" s="33" t="str">
        <f>"cost: budget less at completion"</f>
        <v>cost: budget less at completion</v>
      </c>
      <c r="H6" s="30" t="n"/>
      <c r="I6" s="68" t="inlineStr">
        <is>
          <t>Green: you changed it</t>
        </is>
      </c>
      <c r="J6" s="94" t="n"/>
    </row>
    <row r="8">
      <c r="A8" s="70" t="inlineStr">
        <is>
          <t>THE PROGRAMME  (locked)</t>
        </is>
      </c>
      <c r="B8" s="71" t="n"/>
      <c r="C8" s="71" t="n"/>
      <c r="D8" s="71" t="n"/>
      <c r="E8" s="71" t="n"/>
      <c r="F8" s="71" t="n"/>
      <c r="G8" s="71" t="n"/>
      <c r="H8" s="72" t="inlineStr">
        <is>
          <t>YOUR UPDATE  (to date)</t>
        </is>
      </c>
      <c r="I8" s="73" t="n"/>
      <c r="J8" s="73" t="n"/>
      <c r="K8" s="73" t="n"/>
      <c r="L8" s="74" t="inlineStr">
        <is>
          <t>WORKED OUT</t>
        </is>
      </c>
      <c r="M8" s="3" t="n"/>
      <c r="N8" s="3" t="n"/>
      <c r="O8" s="3" t="n"/>
      <c r="P8" s="3" t="n"/>
    </row>
    <row r="9" ht="34" customHeight="1">
      <c r="A9" s="75" t="inlineStr">
        <is>
          <t>Activity ID</t>
        </is>
      </c>
      <c r="B9" s="76" t="inlineStr">
        <is>
          <t>Activity name</t>
        </is>
      </c>
      <c r="C9" s="76" t="inlineStr">
        <is>
          <t>Resource</t>
        </is>
      </c>
      <c r="D9" s="75" t="inlineStr">
        <is>
          <t>Type</t>
        </is>
      </c>
      <c r="E9" s="75" t="inlineStr">
        <is>
          <t>Budget units</t>
        </is>
      </c>
      <c r="F9" s="75" t="inlineStr">
        <is>
          <t>Budget cost</t>
        </is>
      </c>
      <c r="G9" s="75" t="inlineStr">
        <is>
          <t>Price / unit</t>
        </is>
      </c>
      <c r="H9" s="51" t="inlineStr">
        <is>
          <t>Actual units to date</t>
        </is>
      </c>
      <c r="I9" s="51" t="inlineStr">
        <is>
          <t>Remaining units</t>
        </is>
      </c>
      <c r="J9" s="51" t="inlineStr">
        <is>
          <t>Actual cost to date</t>
        </is>
      </c>
      <c r="K9" s="51" t="inlineStr">
        <is>
          <t>Remaining cost</t>
        </is>
      </c>
      <c r="L9" s="41" t="inlineStr">
        <is>
          <t>At completion units</t>
        </is>
      </c>
      <c r="M9" s="41" t="inlineStr">
        <is>
          <t>Units variance</t>
        </is>
      </c>
      <c r="N9" s="41" t="inlineStr">
        <is>
          <t>At completion cost</t>
        </is>
      </c>
      <c r="O9" s="41" t="inlineStr">
        <is>
          <t>Cost variance</t>
        </is>
      </c>
      <c r="P9" s="41" t="inlineStr">
        <is>
          <t>Check</t>
        </is>
      </c>
      <c r="Q9" s="41" t="inlineStr">
        <is>
          <t>was actual units</t>
        </is>
      </c>
      <c r="R9" s="41" t="inlineStr">
        <is>
          <t>was remaining units</t>
        </is>
      </c>
      <c r="S9" s="41" t="inlineStr">
        <is>
          <t>was actual cost</t>
        </is>
      </c>
      <c r="T9" s="41" t="inlineStr">
        <is>
          <t>was remaining cost</t>
        </is>
      </c>
      <c r="U9" s="41" t="inlineStr">
        <is>
          <t>Assignment</t>
        </is>
      </c>
      <c r="V9" s="41" t="inlineStr">
        <is>
          <t>Cost from units</t>
        </is>
      </c>
      <c r="W9" s="41" t="inlineStr">
        <is>
          <t>Started</t>
        </is>
      </c>
      <c r="X9" s="41" t="inlineStr">
        <is>
          <t>Finished</t>
        </is>
      </c>
      <c r="Y9" s="41" t="inlineStr">
        <is>
          <t>Progress given</t>
        </is>
      </c>
      <c r="Z9" s="41" t="inlineStr">
        <is>
          <t>Changed</t>
        </is>
      </c>
    </row>
    <row r="10" ht="18" customHeight="1">
      <c r="A10" s="78" t="inlineStr">
        <is>
          <t>Dan Lowe - Design Lead</t>
        </is>
      </c>
      <c r="B10" s="79" t="n"/>
      <c r="C10" s="79" t="n"/>
      <c r="D10" s="79" t="n"/>
      <c r="E10" s="79" t="n"/>
      <c r="F10" s="79" t="n"/>
      <c r="G10" s="79" t="n"/>
      <c r="H10" s="79" t="n"/>
      <c r="I10" s="79" t="n"/>
      <c r="J10" s="79" t="n"/>
      <c r="K10" s="79" t="n"/>
      <c r="L10" s="79" t="n"/>
      <c r="M10" s="79" t="n"/>
      <c r="N10" s="79" t="n"/>
      <c r="O10" s="79" t="n"/>
      <c r="P10" s="79" t="n"/>
    </row>
    <row r="11">
      <c r="A11" s="80" t="inlineStr">
        <is>
          <t>A1010</t>
        </is>
      </c>
      <c r="B11" s="80" t="inlineStr">
        <is>
          <t>Design package 01</t>
        </is>
      </c>
      <c r="C11" s="80" t="inlineStr">
        <is>
          <t>Site Labour</t>
        </is>
      </c>
      <c r="D11" s="80" t="inlineStr">
        <is>
          <t>Labour · h</t>
        </is>
      </c>
      <c r="E11" s="98" t="n">
        <v>64</v>
      </c>
      <c r="F11" s="99" t="n">
        <v>4800</v>
      </c>
      <c r="G11" s="99" t="n">
        <v>0</v>
      </c>
      <c r="H11" s="100" t="n">
        <v>64</v>
      </c>
      <c r="I11" s="100" t="n">
        <v>0</v>
      </c>
      <c r="J11" s="101" t="n">
        <v>4800</v>
      </c>
      <c r="K11" s="101" t="n">
        <v>0</v>
      </c>
      <c r="L11" s="102">
        <f>IFERROR(N(H11)+N(I11),"")</f>
        <v>64</v>
      </c>
      <c r="M11" s="103">
        <f>IFERROR(E11-(N(H11)+N(I11)),"")</f>
        <v>0</v>
      </c>
      <c r="N11" s="104">
        <f>IFERROR(N(J11)+N(K11),"")</f>
        <v>4800</v>
      </c>
      <c r="O11" s="105">
        <f>IFERROR(F11-(N(J11)+N(K11)),"")</f>
        <v>0</v>
      </c>
      <c r="P11" s="90" t="str">
        <f>IF(OR(AND(H11&lt;&gt;"",NOT(ISNUMBER(H11))),AND(I11&lt;&gt;"",NOT(ISNUMBER(I11))),AND(J11&lt;&gt;"",NOT(ISNUMBER(J11))),AND(K11&lt;&gt;"",NOT(ISNUMBER(K11)))),"Not a number",IF(OR(N(H11)&lt;0,N(I11)&lt;0,N(J11)&lt;0,N(K11)&lt;0),"Negative value",IF(AND(W11=0,OR(N(H11)&gt;0,N(J11)&gt;0)),"Start date needed",IF(AND(X11=1,OR(N(I11)&gt;0,N(K11)&gt;0)),"Remaining on finished work",IF(Z11=1,IF(OR(N(H11)&lt;Q11-0.005,N(J11)&lt;S11-0.005),"Actual reduced",IF(OR(N(H11)+N(I11)&gt;E11+0.005,N(J11)+N(K11)&gt;F11+0.005),"Over budget","✓ Updated")),IF(Y11=1,"Actuals not given","Not changed yet"))))))</f>
        <v>Not changed yet</v>
      </c>
      <c r="Q11" t="n">
        <v>64</v>
      </c>
      <c r="R11" t="n">
        <v>0</v>
      </c>
      <c r="S11" t="n">
        <v>4800</v>
      </c>
      <c r="T11" t="n">
        <v>0</v>
      </c>
      <c r="U11" t="inlineStr">
        <is>
          <t>7001</t>
        </is>
      </c>
      <c r="V11" t="n">
        <v>0</v>
      </c>
      <c r="W11">
        <f>IF('Dan Lowe'!G11&lt;&gt;"",1,0)</f>
        <v>1</v>
      </c>
      <c r="X11">
        <f>IF('Dan Lowe'!H11&lt;&gt;"",1,0)</f>
        <v>1</v>
      </c>
      <c r="Y11">
        <f>IF(OR('Dan Lowe'!G11&lt;&gt;'Dan Lowe'!T11,'Dan Lowe'!H11&lt;&gt;'Dan Lowe'!U11,N('Dan Lowe'!I11)&gt;0),1,0)</f>
        <v>0</v>
      </c>
      <c r="Z11">
        <f>IF(OR(H11&lt;&gt;Q11,I11&lt;&gt;R11,J11&lt;&gt;S11,K11&lt;&gt;T11),1,0)</f>
        <v>0</v>
      </c>
    </row>
    <row r="12">
      <c r="A12" s="80" t="inlineStr">
        <is>
          <t>A1020</t>
        </is>
      </c>
      <c r="B12" s="80" t="inlineStr">
        <is>
          <t>Design package 02</t>
        </is>
      </c>
      <c r="C12" s="80" t="inlineStr">
        <is>
          <t>Bulk Materials</t>
        </is>
      </c>
      <c r="D12" s="80" t="inlineStr">
        <is>
          <t>Material · units</t>
        </is>
      </c>
      <c r="E12" s="98" t="n">
        <v>16</v>
      </c>
      <c r="F12" s="99" t="n">
        <v>1520</v>
      </c>
      <c r="G12" s="99" t="n">
        <v>0</v>
      </c>
      <c r="H12" s="100" t="n">
        <v>16</v>
      </c>
      <c r="I12" s="100" t="n">
        <v>0</v>
      </c>
      <c r="J12" s="101" t="n">
        <v>1520</v>
      </c>
      <c r="K12" s="101" t="n">
        <v>0</v>
      </c>
      <c r="L12" s="102">
        <f>IFERROR(N(H12)+N(I12),"")</f>
        <v>16</v>
      </c>
      <c r="M12" s="103">
        <f>IFERROR(E12-(N(H12)+N(I12)),"")</f>
        <v>0</v>
      </c>
      <c r="N12" s="104">
        <f>IFERROR(N(J12)+N(K12),"")</f>
        <v>1520</v>
      </c>
      <c r="O12" s="105">
        <f>IFERROR(F12-(N(J12)+N(K12)),"")</f>
        <v>0</v>
      </c>
      <c r="P12" s="90" t="str">
        <f>IF(OR(AND(H12&lt;&gt;"",NOT(ISNUMBER(H12))),AND(I12&lt;&gt;"",NOT(ISNUMBER(I12))),AND(J12&lt;&gt;"",NOT(ISNUMBER(J12))),AND(K12&lt;&gt;"",NOT(ISNUMBER(K12)))),"Not a number",IF(OR(N(H12)&lt;0,N(I12)&lt;0,N(J12)&lt;0,N(K12)&lt;0),"Negative value",IF(AND(W12=0,OR(N(H12)&gt;0,N(J12)&gt;0)),"Start date needed",IF(AND(X12=1,OR(N(I12)&gt;0,N(K12)&gt;0)),"Remaining on finished work",IF(Z12=1,IF(OR(N(H12)&lt;Q12-0.005,N(J12)&lt;S12-0.005),"Actual reduced",IF(OR(N(H12)+N(I12)&gt;E12+0.005,N(J12)+N(K12)&gt;F12+0.005),"Over budget","✓ Updated")),IF(Y12=1,"Actuals not given","Not changed yet"))))))</f>
        <v>Not changed yet</v>
      </c>
      <c r="Q12" t="n">
        <v>16</v>
      </c>
      <c r="R12" t="n">
        <v>0</v>
      </c>
      <c r="S12" t="n">
        <v>1520</v>
      </c>
      <c r="T12" t="n">
        <v>0</v>
      </c>
      <c r="U12" t="inlineStr">
        <is>
          <t>7002</t>
        </is>
      </c>
      <c r="V12" t="n">
        <v>0</v>
      </c>
      <c r="W12">
        <f>IF('Dan Lowe'!G12&lt;&gt;"",1,0)</f>
        <v>1</v>
      </c>
      <c r="X12">
        <f>IF('Dan Lowe'!H12&lt;&gt;"",1,0)</f>
        <v>1</v>
      </c>
      <c r="Y12">
        <f>IF(OR('Dan Lowe'!G12&lt;&gt;'Dan Lowe'!T12,'Dan Lowe'!H12&lt;&gt;'Dan Lowe'!U12,N('Dan Lowe'!I12)&gt;0),1,0)</f>
        <v>0</v>
      </c>
      <c r="Z12">
        <f>IF(OR(H12&lt;&gt;Q12,I12&lt;&gt;R12,J12&lt;&gt;S12,K12&lt;&gt;T12),1,0)</f>
        <v>0</v>
      </c>
    </row>
    <row r="13">
      <c r="A13" s="80" t="inlineStr">
        <is>
          <t>A1040</t>
        </is>
      </c>
      <c r="B13" s="80" t="inlineStr">
        <is>
          <t>Design package 04</t>
        </is>
      </c>
      <c r="C13" s="80" t="inlineStr">
        <is>
          <t>Site Labour</t>
        </is>
      </c>
      <c r="D13" s="80" t="inlineStr">
        <is>
          <t>Labour · h</t>
        </is>
      </c>
      <c r="E13" s="98" t="n">
        <v>80</v>
      </c>
      <c r="F13" s="99" t="n">
        <v>6000</v>
      </c>
      <c r="G13" s="99" t="n">
        <v>0</v>
      </c>
      <c r="H13" s="100" t="n">
        <v>80</v>
      </c>
      <c r="I13" s="100" t="n">
        <v>0</v>
      </c>
      <c r="J13" s="101" t="n">
        <v>6000</v>
      </c>
      <c r="K13" s="101" t="n">
        <v>0</v>
      </c>
      <c r="L13" s="102">
        <f>IFERROR(N(H13)+N(I13),"")</f>
        <v>80</v>
      </c>
      <c r="M13" s="103">
        <f>IFERROR(E13-(N(H13)+N(I13)),"")</f>
        <v>0</v>
      </c>
      <c r="N13" s="104">
        <f>IFERROR(N(J13)+N(K13),"")</f>
        <v>6000</v>
      </c>
      <c r="O13" s="105">
        <f>IFERROR(F13-(N(J13)+N(K13)),"")</f>
        <v>0</v>
      </c>
      <c r="P13" s="90" t="str">
        <f>IF(OR(AND(H13&lt;&gt;"",NOT(ISNUMBER(H13))),AND(I13&lt;&gt;"",NOT(ISNUMBER(I13))),AND(J13&lt;&gt;"",NOT(ISNUMBER(J13))),AND(K13&lt;&gt;"",NOT(ISNUMBER(K13)))),"Not a number",IF(OR(N(H13)&lt;0,N(I13)&lt;0,N(J13)&lt;0,N(K13)&lt;0),"Negative value",IF(AND(W13=0,OR(N(H13)&gt;0,N(J13)&gt;0)),"Start date needed",IF(AND(X13=1,OR(N(I13)&gt;0,N(K13)&gt;0)),"Remaining on finished work",IF(Z13=1,IF(OR(N(H13)&lt;Q13-0.005,N(J13)&lt;S13-0.005),"Actual reduced",IF(OR(N(H13)+N(I13)&gt;E13+0.005,N(J13)+N(K13)&gt;F13+0.005),"Over budget","✓ Updated")),IF(Y13=1,"Actuals not given","Not changed yet"))))))</f>
        <v>Not changed yet</v>
      </c>
      <c r="Q13" t="n">
        <v>80</v>
      </c>
      <c r="R13" t="n">
        <v>0</v>
      </c>
      <c r="S13" t="n">
        <v>6000</v>
      </c>
      <c r="T13" t="n">
        <v>0</v>
      </c>
      <c r="U13" t="inlineStr">
        <is>
          <t>7004</t>
        </is>
      </c>
      <c r="V13" t="n">
        <v>0</v>
      </c>
      <c r="W13">
        <f>IF('Dan Lowe'!G14&lt;&gt;"",1,0)</f>
        <v>1</v>
      </c>
      <c r="X13">
        <f>IF('Dan Lowe'!H14&lt;&gt;"",1,0)</f>
        <v>1</v>
      </c>
      <c r="Y13">
        <f>IF(OR('Dan Lowe'!G14&lt;&gt;'Dan Lowe'!T14,'Dan Lowe'!H14&lt;&gt;'Dan Lowe'!U14,N('Dan Lowe'!I14)&gt;0),1,0)</f>
        <v>0</v>
      </c>
      <c r="Z13">
        <f>IF(OR(H13&lt;&gt;Q13,I13&lt;&gt;R13,J13&lt;&gt;S13,K13&lt;&gt;T13),1,0)</f>
        <v>0</v>
      </c>
    </row>
    <row r="14">
      <c r="A14" s="80" t="inlineStr">
        <is>
          <t>A1050</t>
        </is>
      </c>
      <c r="B14" s="80" t="inlineStr">
        <is>
          <t>Design package 05</t>
        </is>
      </c>
      <c r="C14" s="80" t="inlineStr">
        <is>
          <t>Bulk Materials</t>
        </is>
      </c>
      <c r="D14" s="80" t="inlineStr">
        <is>
          <t>Material · units</t>
        </is>
      </c>
      <c r="E14" s="98" t="n">
        <v>16</v>
      </c>
      <c r="F14" s="99" t="n">
        <v>1520</v>
      </c>
      <c r="G14" s="99" t="n">
        <v>0</v>
      </c>
      <c r="H14" s="100" t="n">
        <v>16</v>
      </c>
      <c r="I14" s="100" t="n">
        <v>0</v>
      </c>
      <c r="J14" s="101" t="n">
        <v>1520</v>
      </c>
      <c r="K14" s="101" t="n">
        <v>0</v>
      </c>
      <c r="L14" s="102">
        <f>IFERROR(N(H14)+N(I14),"")</f>
        <v>16</v>
      </c>
      <c r="M14" s="103">
        <f>IFERROR(E14-(N(H14)+N(I14)),"")</f>
        <v>0</v>
      </c>
      <c r="N14" s="104">
        <f>IFERROR(N(J14)+N(K14),"")</f>
        <v>1520</v>
      </c>
      <c r="O14" s="105">
        <f>IFERROR(F14-(N(J14)+N(K14)),"")</f>
        <v>0</v>
      </c>
      <c r="P14" s="90" t="str">
        <f>IF(OR(AND(H14&lt;&gt;"",NOT(ISNUMBER(H14))),AND(I14&lt;&gt;"",NOT(ISNUMBER(I14))),AND(J14&lt;&gt;"",NOT(ISNUMBER(J14))),AND(K14&lt;&gt;"",NOT(ISNUMBER(K14)))),"Not a number",IF(OR(N(H14)&lt;0,N(I14)&lt;0,N(J14)&lt;0,N(K14)&lt;0),"Negative value",IF(AND(W14=0,OR(N(H14)&gt;0,N(J14)&gt;0)),"Start date needed",IF(AND(X14=1,OR(N(I14)&gt;0,N(K14)&gt;0)),"Remaining on finished work",IF(Z14=1,IF(OR(N(H14)&lt;Q14-0.005,N(J14)&lt;S14-0.005),"Actual reduced",IF(OR(N(H14)+N(I14)&gt;E14+0.005,N(J14)+N(K14)&gt;F14+0.005),"Over budget","✓ Updated")),IF(Y14=1,"Actuals not given","Not changed yet"))))))</f>
        <v>Not changed yet</v>
      </c>
      <c r="Q14" t="n">
        <v>16</v>
      </c>
      <c r="R14" t="n">
        <v>0</v>
      </c>
      <c r="S14" t="n">
        <v>1520</v>
      </c>
      <c r="T14" t="n">
        <v>0</v>
      </c>
      <c r="U14" t="inlineStr">
        <is>
          <t>7005</t>
        </is>
      </c>
      <c r="V14" t="n">
        <v>0</v>
      </c>
      <c r="W14">
        <f>IF('Dan Lowe'!G15&lt;&gt;"",1,0)</f>
        <v>1</v>
      </c>
      <c r="X14">
        <f>IF('Dan Lowe'!H15&lt;&gt;"",1,0)</f>
        <v>1</v>
      </c>
      <c r="Y14">
        <f>IF(OR('Dan Lowe'!G15&lt;&gt;'Dan Lowe'!T15,'Dan Lowe'!H15&lt;&gt;'Dan Lowe'!U15,N('Dan Lowe'!I15)&gt;0),1,0)</f>
        <v>0</v>
      </c>
      <c r="Z14">
        <f>IF(OR(H14&lt;&gt;Q14,I14&lt;&gt;R14,J14&lt;&gt;S14,K14&lt;&gt;T14),1,0)</f>
        <v>0</v>
      </c>
    </row>
    <row r="15">
      <c r="A15" s="80" t="inlineStr">
        <is>
          <t>A1060</t>
        </is>
      </c>
      <c r="B15" s="80" t="inlineStr">
        <is>
          <t>Design package 06</t>
        </is>
      </c>
      <c r="C15" s="80" t="inlineStr">
        <is>
          <t>Design Engineer</t>
        </is>
      </c>
      <c r="D15" s="80" t="inlineStr">
        <is>
          <t>Labour · h</t>
        </is>
      </c>
      <c r="E15" s="98" t="n">
        <v>64</v>
      </c>
      <c r="F15" s="99" t="n">
        <v>3520</v>
      </c>
      <c r="G15" s="99" t="n">
        <v>0</v>
      </c>
      <c r="H15" s="100" t="n">
        <v>64</v>
      </c>
      <c r="I15" s="100" t="n">
        <v>0</v>
      </c>
      <c r="J15" s="101" t="n">
        <v>3520</v>
      </c>
      <c r="K15" s="101" t="n">
        <v>0</v>
      </c>
      <c r="L15" s="102">
        <f>IFERROR(N(H15)+N(I15),"")</f>
        <v>64</v>
      </c>
      <c r="M15" s="103">
        <f>IFERROR(E15-(N(H15)+N(I15)),"")</f>
        <v>0</v>
      </c>
      <c r="N15" s="104">
        <f>IFERROR(N(J15)+N(K15),"")</f>
        <v>3520</v>
      </c>
      <c r="O15" s="105">
        <f>IFERROR(F15-(N(J15)+N(K15)),"")</f>
        <v>0</v>
      </c>
      <c r="P15" s="90" t="str">
        <f>IF(OR(AND(H15&lt;&gt;"",NOT(ISNUMBER(H15))),AND(I15&lt;&gt;"",NOT(ISNUMBER(I15))),AND(J15&lt;&gt;"",NOT(ISNUMBER(J15))),AND(K15&lt;&gt;"",NOT(ISNUMBER(K15)))),"Not a number",IF(OR(N(H15)&lt;0,N(I15)&lt;0,N(J15)&lt;0,N(K15)&lt;0),"Negative value",IF(AND(W15=0,OR(N(H15)&gt;0,N(J15)&gt;0)),"Start date needed",IF(AND(X15=1,OR(N(I15)&gt;0,N(K15)&gt;0)),"Remaining on finished work",IF(Z15=1,IF(OR(N(H15)&lt;Q15-0.005,N(J15)&lt;S15-0.005),"Actual reduced",IF(OR(N(H15)+N(I15)&gt;E15+0.005,N(J15)+N(K15)&gt;F15+0.005),"Over budget","✓ Updated")),IF(Y15=1,"Actuals not given","Not changed yet"))))))</f>
        <v>Not changed yet</v>
      </c>
      <c r="Q15" t="n">
        <v>64</v>
      </c>
      <c r="R15" t="n">
        <v>0</v>
      </c>
      <c r="S15" t="n">
        <v>3520</v>
      </c>
      <c r="T15" t="n">
        <v>0</v>
      </c>
      <c r="U15" t="inlineStr">
        <is>
          <t>7006</t>
        </is>
      </c>
      <c r="V15" t="n">
        <v>0</v>
      </c>
      <c r="W15">
        <f>IF('Dan Lowe'!G16&lt;&gt;"",1,0)</f>
        <v>1</v>
      </c>
      <c r="X15">
        <f>IF('Dan Lowe'!H16&lt;&gt;"",1,0)</f>
        <v>1</v>
      </c>
      <c r="Y15">
        <f>IF(OR('Dan Lowe'!G16&lt;&gt;'Dan Lowe'!T16,'Dan Lowe'!H16&lt;&gt;'Dan Lowe'!U16,N('Dan Lowe'!I16)&gt;0),1,0)</f>
        <v>0</v>
      </c>
      <c r="Z15">
        <f>IF(OR(H15&lt;&gt;Q15,I15&lt;&gt;R15,J15&lt;&gt;S15,K15&lt;&gt;T15),1,0)</f>
        <v>0</v>
      </c>
    </row>
    <row r="16">
      <c r="A16" s="80" t="inlineStr">
        <is>
          <t>A1070</t>
        </is>
      </c>
      <c r="B16" s="80" t="inlineStr">
        <is>
          <t>Design package 07</t>
        </is>
      </c>
      <c r="C16" s="80" t="inlineStr">
        <is>
          <t>Site Labour</t>
        </is>
      </c>
      <c r="D16" s="80" t="inlineStr">
        <is>
          <t>Labour · h</t>
        </is>
      </c>
      <c r="E16" s="98" t="n">
        <v>16</v>
      </c>
      <c r="F16" s="99" t="n">
        <v>1200</v>
      </c>
      <c r="G16" s="99" t="n">
        <v>0</v>
      </c>
      <c r="H16" s="100" t="n">
        <v>16</v>
      </c>
      <c r="I16" s="100" t="n">
        <v>0</v>
      </c>
      <c r="J16" s="101" t="n">
        <v>1200</v>
      </c>
      <c r="K16" s="101" t="n">
        <v>0</v>
      </c>
      <c r="L16" s="102">
        <f>IFERROR(N(H16)+N(I16),"")</f>
        <v>16</v>
      </c>
      <c r="M16" s="103">
        <f>IFERROR(E16-(N(H16)+N(I16)),"")</f>
        <v>0</v>
      </c>
      <c r="N16" s="104">
        <f>IFERROR(N(J16)+N(K16),"")</f>
        <v>1200</v>
      </c>
      <c r="O16" s="105">
        <f>IFERROR(F16-(N(J16)+N(K16)),"")</f>
        <v>0</v>
      </c>
      <c r="P16" s="90" t="str">
        <f>IF(OR(AND(H16&lt;&gt;"",NOT(ISNUMBER(H16))),AND(I16&lt;&gt;"",NOT(ISNUMBER(I16))),AND(J16&lt;&gt;"",NOT(ISNUMBER(J16))),AND(K16&lt;&gt;"",NOT(ISNUMBER(K16)))),"Not a number",IF(OR(N(H16)&lt;0,N(I16)&lt;0,N(J16)&lt;0,N(K16)&lt;0),"Negative value",IF(AND(W16=0,OR(N(H16)&gt;0,N(J16)&gt;0)),"Start date needed",IF(AND(X16=1,OR(N(I16)&gt;0,N(K16)&gt;0)),"Remaining on finished work",IF(Z16=1,IF(OR(N(H16)&lt;Q16-0.005,N(J16)&lt;S16-0.005),"Actual reduced",IF(OR(N(H16)+N(I16)&gt;E16+0.005,N(J16)+N(K16)&gt;F16+0.005),"Over budget","✓ Updated")),IF(Y16=1,"Actuals not given","Not changed yet"))))))</f>
        <v>Not changed yet</v>
      </c>
      <c r="Q16" t="n">
        <v>16</v>
      </c>
      <c r="R16" t="n">
        <v>0</v>
      </c>
      <c r="S16" t="n">
        <v>1200</v>
      </c>
      <c r="T16" t="n">
        <v>0</v>
      </c>
      <c r="U16" t="inlineStr">
        <is>
          <t>7007</t>
        </is>
      </c>
      <c r="V16" t="n">
        <v>0</v>
      </c>
      <c r="W16">
        <f>IF('Dan Lowe'!G17&lt;&gt;"",1,0)</f>
        <v>1</v>
      </c>
      <c r="X16">
        <f>IF('Dan Lowe'!H17&lt;&gt;"",1,0)</f>
        <v>1</v>
      </c>
      <c r="Y16">
        <f>IF(OR('Dan Lowe'!G17&lt;&gt;'Dan Lowe'!T17,'Dan Lowe'!H17&lt;&gt;'Dan Lowe'!U17,N('Dan Lowe'!I17)&gt;0),1,0)</f>
        <v>0</v>
      </c>
      <c r="Z16">
        <f>IF(OR(H16&lt;&gt;Q16,I16&lt;&gt;R16,J16&lt;&gt;S16,K16&lt;&gt;T16),1,0)</f>
        <v>0</v>
      </c>
    </row>
    <row r="17">
      <c r="A17" s="80" t="inlineStr">
        <is>
          <t>A1080</t>
        </is>
      </c>
      <c r="B17" s="80" t="inlineStr">
        <is>
          <t>Design package 08</t>
        </is>
      </c>
      <c r="C17" s="80" t="inlineStr">
        <is>
          <t>Bulk Materials</t>
        </is>
      </c>
      <c r="D17" s="80" t="inlineStr">
        <is>
          <t>Material · units</t>
        </is>
      </c>
      <c r="E17" s="98" t="n">
        <v>16</v>
      </c>
      <c r="F17" s="99" t="n">
        <v>1520</v>
      </c>
      <c r="G17" s="99" t="n">
        <v>0</v>
      </c>
      <c r="H17" s="100" t="n">
        <v>16</v>
      </c>
      <c r="I17" s="100" t="n">
        <v>0</v>
      </c>
      <c r="J17" s="101" t="n">
        <v>1520</v>
      </c>
      <c r="K17" s="101" t="n">
        <v>0</v>
      </c>
      <c r="L17" s="102">
        <f>IFERROR(N(H17)+N(I17),"")</f>
        <v>16</v>
      </c>
      <c r="M17" s="103">
        <f>IFERROR(E17-(N(H17)+N(I17)),"")</f>
        <v>0</v>
      </c>
      <c r="N17" s="104">
        <f>IFERROR(N(J17)+N(K17),"")</f>
        <v>1520</v>
      </c>
      <c r="O17" s="105">
        <f>IFERROR(F17-(N(J17)+N(K17)),"")</f>
        <v>0</v>
      </c>
      <c r="P17" s="90" t="str">
        <f>IF(OR(AND(H17&lt;&gt;"",NOT(ISNUMBER(H17))),AND(I17&lt;&gt;"",NOT(ISNUMBER(I17))),AND(J17&lt;&gt;"",NOT(ISNUMBER(J17))),AND(K17&lt;&gt;"",NOT(ISNUMBER(K17)))),"Not a number",IF(OR(N(H17)&lt;0,N(I17)&lt;0,N(J17)&lt;0,N(K17)&lt;0),"Negative value",IF(AND(W17=0,OR(N(H17)&gt;0,N(J17)&gt;0)),"Start date needed",IF(AND(X17=1,OR(N(I17)&gt;0,N(K17)&gt;0)),"Remaining on finished work",IF(Z17=1,IF(OR(N(H17)&lt;Q17-0.005,N(J17)&lt;S17-0.005),"Actual reduced",IF(OR(N(H17)+N(I17)&gt;E17+0.005,N(J17)+N(K17)&gt;F17+0.005),"Over budget","✓ Updated")),IF(Y17=1,"Actuals not given","Not changed yet"))))))</f>
        <v>Not changed yet</v>
      </c>
      <c r="Q17" t="n">
        <v>16</v>
      </c>
      <c r="R17" t="n">
        <v>0</v>
      </c>
      <c r="S17" t="n">
        <v>1520</v>
      </c>
      <c r="T17" t="n">
        <v>0</v>
      </c>
      <c r="U17" t="inlineStr">
        <is>
          <t>7008</t>
        </is>
      </c>
      <c r="V17" t="n">
        <v>0</v>
      </c>
      <c r="W17">
        <f>IF('Dan Lowe'!G18&lt;&gt;"",1,0)</f>
        <v>1</v>
      </c>
      <c r="X17">
        <f>IF('Dan Lowe'!H18&lt;&gt;"",1,0)</f>
        <v>1</v>
      </c>
      <c r="Y17">
        <f>IF(OR('Dan Lowe'!G18&lt;&gt;'Dan Lowe'!T18,'Dan Lowe'!H18&lt;&gt;'Dan Lowe'!U18,N('Dan Lowe'!I18)&gt;0),1,0)</f>
        <v>0</v>
      </c>
      <c r="Z17">
        <f>IF(OR(H17&lt;&gt;Q17,I17&lt;&gt;R17,J17&lt;&gt;S17,K17&lt;&gt;T17),1,0)</f>
        <v>0</v>
      </c>
    </row>
    <row r="18">
      <c r="A18" s="80" t="inlineStr">
        <is>
          <t>A1090</t>
        </is>
      </c>
      <c r="B18" s="80" t="inlineStr">
        <is>
          <t>Design package 09</t>
        </is>
      </c>
      <c r="C18" s="80" t="inlineStr">
        <is>
          <t>Design Engineer</t>
        </is>
      </c>
      <c r="D18" s="80" t="inlineStr">
        <is>
          <t>Labour · h</t>
        </is>
      </c>
      <c r="E18" s="98" t="n">
        <v>16</v>
      </c>
      <c r="F18" s="99" t="n">
        <v>880</v>
      </c>
      <c r="G18" s="99" t="n">
        <v>0</v>
      </c>
      <c r="H18" s="100" t="n">
        <v>16</v>
      </c>
      <c r="I18" s="100" t="n">
        <v>0</v>
      </c>
      <c r="J18" s="101" t="n">
        <v>880</v>
      </c>
      <c r="K18" s="101" t="n">
        <v>0</v>
      </c>
      <c r="L18" s="102">
        <f>IFERROR(N(H18)+N(I18),"")</f>
        <v>16</v>
      </c>
      <c r="M18" s="103">
        <f>IFERROR(E18-(N(H18)+N(I18)),"")</f>
        <v>0</v>
      </c>
      <c r="N18" s="104">
        <f>IFERROR(N(J18)+N(K18),"")</f>
        <v>880</v>
      </c>
      <c r="O18" s="105">
        <f>IFERROR(F18-(N(J18)+N(K18)),"")</f>
        <v>0</v>
      </c>
      <c r="P18" s="90" t="str">
        <f>IF(OR(AND(H18&lt;&gt;"",NOT(ISNUMBER(H18))),AND(I18&lt;&gt;"",NOT(ISNUMBER(I18))),AND(J18&lt;&gt;"",NOT(ISNUMBER(J18))),AND(K18&lt;&gt;"",NOT(ISNUMBER(K18)))),"Not a number",IF(OR(N(H18)&lt;0,N(I18)&lt;0,N(J18)&lt;0,N(K18)&lt;0),"Negative value",IF(AND(W18=0,OR(N(H18)&gt;0,N(J18)&gt;0)),"Start date needed",IF(AND(X18=1,OR(N(I18)&gt;0,N(K18)&gt;0)),"Remaining on finished work",IF(Z18=1,IF(OR(N(H18)&lt;Q18-0.005,N(J18)&lt;S18-0.005),"Actual reduced",IF(OR(N(H18)+N(I18)&gt;E18+0.005,N(J18)+N(K18)&gt;F18+0.005),"Over budget","✓ Updated")),IF(Y18=1,"Actuals not given","Not changed yet"))))))</f>
        <v>Not changed yet</v>
      </c>
      <c r="Q18" t="n">
        <v>16</v>
      </c>
      <c r="R18" t="n">
        <v>0</v>
      </c>
      <c r="S18" t="n">
        <v>880</v>
      </c>
      <c r="T18" t="n">
        <v>0</v>
      </c>
      <c r="U18" t="inlineStr">
        <is>
          <t>7009</t>
        </is>
      </c>
      <c r="V18" t="n">
        <v>0</v>
      </c>
      <c r="W18">
        <f>IF('Dan Lowe'!G19&lt;&gt;"",1,0)</f>
        <v>1</v>
      </c>
      <c r="X18">
        <f>IF('Dan Lowe'!H19&lt;&gt;"",1,0)</f>
        <v>1</v>
      </c>
      <c r="Y18">
        <f>IF(OR('Dan Lowe'!G19&lt;&gt;'Dan Lowe'!T19,'Dan Lowe'!H19&lt;&gt;'Dan Lowe'!U19,N('Dan Lowe'!I19)&gt;0),1,0)</f>
        <v>0</v>
      </c>
      <c r="Z18">
        <f>IF(OR(H18&lt;&gt;Q18,I18&lt;&gt;R18,J18&lt;&gt;S18,K18&lt;&gt;T18),1,0)</f>
        <v>0</v>
      </c>
    </row>
    <row r="19">
      <c r="A19" s="80" t="inlineStr">
        <is>
          <t>A1110</t>
        </is>
      </c>
      <c r="B19" s="80" t="inlineStr">
        <is>
          <t>Design package 11</t>
        </is>
      </c>
      <c r="C19" s="80" t="inlineStr">
        <is>
          <t>Bulk Materials</t>
        </is>
      </c>
      <c r="D19" s="80" t="inlineStr">
        <is>
          <t>Material · units</t>
        </is>
      </c>
      <c r="E19" s="98" t="n">
        <v>80</v>
      </c>
      <c r="F19" s="99" t="n">
        <v>7600</v>
      </c>
      <c r="G19" s="99" t="n">
        <v>0</v>
      </c>
      <c r="H19" s="100" t="n">
        <v>80</v>
      </c>
      <c r="I19" s="100" t="n">
        <v>0</v>
      </c>
      <c r="J19" s="101" t="n">
        <v>7600</v>
      </c>
      <c r="K19" s="101" t="n">
        <v>0</v>
      </c>
      <c r="L19" s="102">
        <f>IFERROR(N(H19)+N(I19),"")</f>
        <v>80</v>
      </c>
      <c r="M19" s="103">
        <f>IFERROR(E19-(N(H19)+N(I19)),"")</f>
        <v>0</v>
      </c>
      <c r="N19" s="104">
        <f>IFERROR(N(J19)+N(K19),"")</f>
        <v>7600</v>
      </c>
      <c r="O19" s="105">
        <f>IFERROR(F19-(N(J19)+N(K19)),"")</f>
        <v>0</v>
      </c>
      <c r="P19" s="90" t="str">
        <f>IF(OR(AND(H19&lt;&gt;"",NOT(ISNUMBER(H19))),AND(I19&lt;&gt;"",NOT(ISNUMBER(I19))),AND(J19&lt;&gt;"",NOT(ISNUMBER(J19))),AND(K19&lt;&gt;"",NOT(ISNUMBER(K19)))),"Not a number",IF(OR(N(H19)&lt;0,N(I19)&lt;0,N(J19)&lt;0,N(K19)&lt;0),"Negative value",IF(AND(W19=0,OR(N(H19)&gt;0,N(J19)&gt;0)),"Start date needed",IF(AND(X19=1,OR(N(I19)&gt;0,N(K19)&gt;0)),"Remaining on finished work",IF(Z19=1,IF(OR(N(H19)&lt;Q19-0.005,N(J19)&lt;S19-0.005),"Actual reduced",IF(OR(N(H19)+N(I19)&gt;E19+0.005,N(J19)+N(K19)&gt;F19+0.005),"Over budget","✓ Updated")),IF(Y19=1,"Actuals not given","Not changed yet"))))))</f>
        <v>Not changed yet</v>
      </c>
      <c r="Q19" t="n">
        <v>80</v>
      </c>
      <c r="R19" t="n">
        <v>0</v>
      </c>
      <c r="S19" t="n">
        <v>7600</v>
      </c>
      <c r="T19" t="n">
        <v>0</v>
      </c>
      <c r="U19" t="inlineStr">
        <is>
          <t>7011</t>
        </is>
      </c>
      <c r="V19" t="n">
        <v>0</v>
      </c>
      <c r="W19">
        <f>IF('Dan Lowe'!G21&lt;&gt;"",1,0)</f>
        <v>1</v>
      </c>
      <c r="X19">
        <f>IF('Dan Lowe'!H21&lt;&gt;"",1,0)</f>
        <v>1</v>
      </c>
      <c r="Y19">
        <f>IF(OR('Dan Lowe'!G21&lt;&gt;'Dan Lowe'!T21,'Dan Lowe'!H21&lt;&gt;'Dan Lowe'!U21,N('Dan Lowe'!I21)&gt;0),1,0)</f>
        <v>0</v>
      </c>
      <c r="Z19">
        <f>IF(OR(H19&lt;&gt;Q19,I19&lt;&gt;R19,J19&lt;&gt;S19,K19&lt;&gt;T19),1,0)</f>
        <v>0</v>
      </c>
    </row>
    <row r="20">
      <c r="A20" s="80" t="inlineStr">
        <is>
          <t>A1120</t>
        </is>
      </c>
      <c r="B20" s="80" t="inlineStr">
        <is>
          <t>Design package 12</t>
        </is>
      </c>
      <c r="C20" s="80" t="inlineStr">
        <is>
          <t>Design Engineer</t>
        </is>
      </c>
      <c r="D20" s="80" t="inlineStr">
        <is>
          <t>Labour · h</t>
        </is>
      </c>
      <c r="E20" s="98" t="n">
        <v>16</v>
      </c>
      <c r="F20" s="99" t="n">
        <v>880</v>
      </c>
      <c r="G20" s="99" t="n">
        <v>0</v>
      </c>
      <c r="H20" s="100" t="n">
        <v>16</v>
      </c>
      <c r="I20" s="100" t="n">
        <v>0</v>
      </c>
      <c r="J20" s="101" t="n">
        <v>880</v>
      </c>
      <c r="K20" s="101" t="n">
        <v>0</v>
      </c>
      <c r="L20" s="102">
        <f>IFERROR(N(H20)+N(I20),"")</f>
        <v>16</v>
      </c>
      <c r="M20" s="103">
        <f>IFERROR(E20-(N(H20)+N(I20)),"")</f>
        <v>0</v>
      </c>
      <c r="N20" s="104">
        <f>IFERROR(N(J20)+N(K20),"")</f>
        <v>880</v>
      </c>
      <c r="O20" s="105">
        <f>IFERROR(F20-(N(J20)+N(K20)),"")</f>
        <v>0</v>
      </c>
      <c r="P20" s="90" t="str">
        <f>IF(OR(AND(H20&lt;&gt;"",NOT(ISNUMBER(H20))),AND(I20&lt;&gt;"",NOT(ISNUMBER(I20))),AND(J20&lt;&gt;"",NOT(ISNUMBER(J20))),AND(K20&lt;&gt;"",NOT(ISNUMBER(K20)))),"Not a number",IF(OR(N(H20)&lt;0,N(I20)&lt;0,N(J20)&lt;0,N(K20)&lt;0),"Negative value",IF(AND(W20=0,OR(N(H20)&gt;0,N(J20)&gt;0)),"Start date needed",IF(AND(X20=1,OR(N(I20)&gt;0,N(K20)&gt;0)),"Remaining on finished work",IF(Z20=1,IF(OR(N(H20)&lt;Q20-0.005,N(J20)&lt;S20-0.005),"Actual reduced",IF(OR(N(H20)+N(I20)&gt;E20+0.005,N(J20)+N(K20)&gt;F20+0.005),"Over budget","✓ Updated")),IF(Y20=1,"Actuals not given","Not changed yet"))))))</f>
        <v>Not changed yet</v>
      </c>
      <c r="Q20" t="n">
        <v>16</v>
      </c>
      <c r="R20" t="n">
        <v>0</v>
      </c>
      <c r="S20" t="n">
        <v>880</v>
      </c>
      <c r="T20" t="n">
        <v>0</v>
      </c>
      <c r="U20" t="inlineStr">
        <is>
          <t>7012</t>
        </is>
      </c>
      <c r="V20" t="n">
        <v>0</v>
      </c>
      <c r="W20">
        <f>IF('Dan Lowe'!G22&lt;&gt;"",1,0)</f>
        <v>1</v>
      </c>
      <c r="X20">
        <f>IF('Dan Lowe'!H22&lt;&gt;"",1,0)</f>
        <v>1</v>
      </c>
      <c r="Y20">
        <f>IF(OR('Dan Lowe'!G22&lt;&gt;'Dan Lowe'!T22,'Dan Lowe'!H22&lt;&gt;'Dan Lowe'!U22,N('Dan Lowe'!I22)&gt;0),1,0)</f>
        <v>0</v>
      </c>
      <c r="Z20">
        <f>IF(OR(H20&lt;&gt;Q20,I20&lt;&gt;R20,J20&lt;&gt;S20,K20&lt;&gt;T20),1,0)</f>
        <v>0</v>
      </c>
    </row>
    <row r="21">
      <c r="A21" s="80" t="inlineStr">
        <is>
          <t>A1130</t>
        </is>
      </c>
      <c r="B21" s="80" t="inlineStr">
        <is>
          <t>Design package 13</t>
        </is>
      </c>
      <c r="C21" s="80" t="inlineStr">
        <is>
          <t>Site Labour</t>
        </is>
      </c>
      <c r="D21" s="80" t="inlineStr">
        <is>
          <t>Labour · h</t>
        </is>
      </c>
      <c r="E21" s="98" t="n">
        <v>16</v>
      </c>
      <c r="F21" s="99" t="n">
        <v>1200</v>
      </c>
      <c r="G21" s="99" t="n">
        <v>0</v>
      </c>
      <c r="H21" s="100" t="n">
        <v>16</v>
      </c>
      <c r="I21" s="100" t="n">
        <v>0</v>
      </c>
      <c r="J21" s="101" t="n">
        <v>1200</v>
      </c>
      <c r="K21" s="101" t="n">
        <v>0</v>
      </c>
      <c r="L21" s="102">
        <f>IFERROR(N(H21)+N(I21),"")</f>
        <v>16</v>
      </c>
      <c r="M21" s="103">
        <f>IFERROR(E21-(N(H21)+N(I21)),"")</f>
        <v>0</v>
      </c>
      <c r="N21" s="104">
        <f>IFERROR(N(J21)+N(K21),"")</f>
        <v>1200</v>
      </c>
      <c r="O21" s="105">
        <f>IFERROR(F21-(N(J21)+N(K21)),"")</f>
        <v>0</v>
      </c>
      <c r="P21" s="90" t="str">
        <f>IF(OR(AND(H21&lt;&gt;"",NOT(ISNUMBER(H21))),AND(I21&lt;&gt;"",NOT(ISNUMBER(I21))),AND(J21&lt;&gt;"",NOT(ISNUMBER(J21))),AND(K21&lt;&gt;"",NOT(ISNUMBER(K21)))),"Not a number",IF(OR(N(H21)&lt;0,N(I21)&lt;0,N(J21)&lt;0,N(K21)&lt;0),"Negative value",IF(AND(W21=0,OR(N(H21)&gt;0,N(J21)&gt;0)),"Start date needed",IF(AND(X21=1,OR(N(I21)&gt;0,N(K21)&gt;0)),"Remaining on finished work",IF(Z21=1,IF(OR(N(H21)&lt;Q21-0.005,N(J21)&lt;S21-0.005),"Actual reduced",IF(OR(N(H21)+N(I21)&gt;E21+0.005,N(J21)+N(K21)&gt;F21+0.005),"Over budget","✓ Updated")),IF(Y21=1,"Actuals not given","Not changed yet"))))))</f>
        <v>Not changed yet</v>
      </c>
      <c r="Q21" t="n">
        <v>16</v>
      </c>
      <c r="R21" t="n">
        <v>0</v>
      </c>
      <c r="S21" t="n">
        <v>1200</v>
      </c>
      <c r="T21" t="n">
        <v>0</v>
      </c>
      <c r="U21" t="inlineStr">
        <is>
          <t>7013</t>
        </is>
      </c>
      <c r="V21" t="n">
        <v>0</v>
      </c>
      <c r="W21">
        <f>IF('Dan Lowe'!G23&lt;&gt;"",1,0)</f>
        <v>1</v>
      </c>
      <c r="X21">
        <f>IF('Dan Lowe'!H23&lt;&gt;"",1,0)</f>
        <v>1</v>
      </c>
      <c r="Y21">
        <f>IF(OR('Dan Lowe'!G23&lt;&gt;'Dan Lowe'!T23,'Dan Lowe'!H23&lt;&gt;'Dan Lowe'!U23,N('Dan Lowe'!I23)&gt;0),1,0)</f>
        <v>0</v>
      </c>
      <c r="Z21">
        <f>IF(OR(H21&lt;&gt;Q21,I21&lt;&gt;R21,J21&lt;&gt;S21,K21&lt;&gt;T21),1,0)</f>
        <v>0</v>
      </c>
    </row>
    <row r="22">
      <c r="A22" s="80" t="inlineStr">
        <is>
          <t>A1140</t>
        </is>
      </c>
      <c r="B22" s="80" t="inlineStr">
        <is>
          <t>Design package 14</t>
        </is>
      </c>
      <c r="C22" s="80" t="inlineStr">
        <is>
          <t>Bulk Materials</t>
        </is>
      </c>
      <c r="D22" s="80" t="inlineStr">
        <is>
          <t>Material · units</t>
        </is>
      </c>
      <c r="E22" s="98" t="n">
        <v>40</v>
      </c>
      <c r="F22" s="99" t="n">
        <v>3800</v>
      </c>
      <c r="G22" s="99" t="n">
        <v>0</v>
      </c>
      <c r="H22" s="100" t="n">
        <v>40</v>
      </c>
      <c r="I22" s="100" t="n">
        <v>0</v>
      </c>
      <c r="J22" s="101" t="n">
        <v>3800</v>
      </c>
      <c r="K22" s="101" t="n">
        <v>0</v>
      </c>
      <c r="L22" s="102">
        <f>IFERROR(N(H22)+N(I22),"")</f>
        <v>40</v>
      </c>
      <c r="M22" s="103">
        <f>IFERROR(E22-(N(H22)+N(I22)),"")</f>
        <v>0</v>
      </c>
      <c r="N22" s="104">
        <f>IFERROR(N(J22)+N(K22),"")</f>
        <v>3800</v>
      </c>
      <c r="O22" s="105">
        <f>IFERROR(F22-(N(J22)+N(K22)),"")</f>
        <v>0</v>
      </c>
      <c r="P22" s="90" t="str">
        <f>IF(OR(AND(H22&lt;&gt;"",NOT(ISNUMBER(H22))),AND(I22&lt;&gt;"",NOT(ISNUMBER(I22))),AND(J22&lt;&gt;"",NOT(ISNUMBER(J22))),AND(K22&lt;&gt;"",NOT(ISNUMBER(K22)))),"Not a number",IF(OR(N(H22)&lt;0,N(I22)&lt;0,N(J22)&lt;0,N(K22)&lt;0),"Negative value",IF(AND(W22=0,OR(N(H22)&gt;0,N(J22)&gt;0)),"Start date needed",IF(AND(X22=1,OR(N(I22)&gt;0,N(K22)&gt;0)),"Remaining on finished work",IF(Z22=1,IF(OR(N(H22)&lt;Q22-0.005,N(J22)&lt;S22-0.005),"Actual reduced",IF(OR(N(H22)+N(I22)&gt;E22+0.005,N(J22)+N(K22)&gt;F22+0.005),"Over budget","✓ Updated")),IF(Y22=1,"Actuals not given","Not changed yet"))))))</f>
        <v>Not changed yet</v>
      </c>
      <c r="Q22" t="n">
        <v>40</v>
      </c>
      <c r="R22" t="n">
        <v>0</v>
      </c>
      <c r="S22" t="n">
        <v>3800</v>
      </c>
      <c r="T22" t="n">
        <v>0</v>
      </c>
      <c r="U22" t="inlineStr">
        <is>
          <t>7014</t>
        </is>
      </c>
      <c r="V22" t="n">
        <v>0</v>
      </c>
      <c r="W22">
        <f>IF('Dan Lowe'!G24&lt;&gt;"",1,0)</f>
        <v>1</v>
      </c>
      <c r="X22">
        <f>IF('Dan Lowe'!H24&lt;&gt;"",1,0)</f>
        <v>1</v>
      </c>
      <c r="Y22">
        <f>IF(OR('Dan Lowe'!G24&lt;&gt;'Dan Lowe'!T24,'Dan Lowe'!H24&lt;&gt;'Dan Lowe'!U24,N('Dan Lowe'!I24)&gt;0),1,0)</f>
        <v>0</v>
      </c>
      <c r="Z22">
        <f>IF(OR(H22&lt;&gt;Q22,I22&lt;&gt;R22,J22&lt;&gt;S22,K22&lt;&gt;T22),1,0)</f>
        <v>0</v>
      </c>
    </row>
    <row r="23">
      <c r="A23" s="80" t="inlineStr">
        <is>
          <t>A1150</t>
        </is>
      </c>
      <c r="B23" s="80" t="inlineStr">
        <is>
          <t>Design package 15</t>
        </is>
      </c>
      <c r="C23" s="80" t="inlineStr">
        <is>
          <t>Design Engineer</t>
        </is>
      </c>
      <c r="D23" s="80" t="inlineStr">
        <is>
          <t>Labour · h</t>
        </is>
      </c>
      <c r="E23" s="98" t="n">
        <v>24</v>
      </c>
      <c r="F23" s="99" t="n">
        <v>1320</v>
      </c>
      <c r="G23" s="99" t="n">
        <v>0</v>
      </c>
      <c r="H23" s="100" t="n">
        <v>24</v>
      </c>
      <c r="I23" s="100" t="n">
        <v>0</v>
      </c>
      <c r="J23" s="101" t="n">
        <v>1320</v>
      </c>
      <c r="K23" s="101" t="n">
        <v>0</v>
      </c>
      <c r="L23" s="102">
        <f>IFERROR(N(H23)+N(I23),"")</f>
        <v>24</v>
      </c>
      <c r="M23" s="103">
        <f>IFERROR(E23-(N(H23)+N(I23)),"")</f>
        <v>0</v>
      </c>
      <c r="N23" s="104">
        <f>IFERROR(N(J23)+N(K23),"")</f>
        <v>1320</v>
      </c>
      <c r="O23" s="105">
        <f>IFERROR(F23-(N(J23)+N(K23)),"")</f>
        <v>0</v>
      </c>
      <c r="P23" s="90" t="str">
        <f>IF(OR(AND(H23&lt;&gt;"",NOT(ISNUMBER(H23))),AND(I23&lt;&gt;"",NOT(ISNUMBER(I23))),AND(J23&lt;&gt;"",NOT(ISNUMBER(J23))),AND(K23&lt;&gt;"",NOT(ISNUMBER(K23)))),"Not a number",IF(OR(N(H23)&lt;0,N(I23)&lt;0,N(J23)&lt;0,N(K23)&lt;0),"Negative value",IF(AND(W23=0,OR(N(H23)&gt;0,N(J23)&gt;0)),"Start date needed",IF(AND(X23=1,OR(N(I23)&gt;0,N(K23)&gt;0)),"Remaining on finished work",IF(Z23=1,IF(OR(N(H23)&lt;Q23-0.005,N(J23)&lt;S23-0.005),"Actual reduced",IF(OR(N(H23)+N(I23)&gt;E23+0.005,N(J23)+N(K23)&gt;F23+0.005),"Over budget","✓ Updated")),IF(Y23=1,"Actuals not given","Not changed yet"))))))</f>
        <v>Not changed yet</v>
      </c>
      <c r="Q23" t="n">
        <v>24</v>
      </c>
      <c r="R23" t="n">
        <v>0</v>
      </c>
      <c r="S23" t="n">
        <v>1320</v>
      </c>
      <c r="T23" t="n">
        <v>0</v>
      </c>
      <c r="U23" t="inlineStr">
        <is>
          <t>7015</t>
        </is>
      </c>
      <c r="V23" t="n">
        <v>0</v>
      </c>
      <c r="W23">
        <f>IF('Dan Lowe'!G25&lt;&gt;"",1,0)</f>
        <v>1</v>
      </c>
      <c r="X23">
        <f>IF('Dan Lowe'!H25&lt;&gt;"",1,0)</f>
        <v>1</v>
      </c>
      <c r="Y23">
        <f>IF(OR('Dan Lowe'!G25&lt;&gt;'Dan Lowe'!T25,'Dan Lowe'!H25&lt;&gt;'Dan Lowe'!U25,N('Dan Lowe'!I25)&gt;0),1,0)</f>
        <v>0</v>
      </c>
      <c r="Z23">
        <f>IF(OR(H23&lt;&gt;Q23,I23&lt;&gt;R23,J23&lt;&gt;S23,K23&lt;&gt;T23),1,0)</f>
        <v>0</v>
      </c>
    </row>
    <row r="24">
      <c r="A24" s="80" t="inlineStr">
        <is>
          <t>A1160</t>
        </is>
      </c>
      <c r="B24" s="80" t="inlineStr">
        <is>
          <t>Design package 16</t>
        </is>
      </c>
      <c r="C24" s="80" t="inlineStr">
        <is>
          <t>Site Labour</t>
        </is>
      </c>
      <c r="D24" s="80" t="inlineStr">
        <is>
          <t>Labour · h</t>
        </is>
      </c>
      <c r="E24" s="98" t="n">
        <v>80</v>
      </c>
      <c r="F24" s="99" t="n">
        <v>6000</v>
      </c>
      <c r="G24" s="99" t="n">
        <v>0</v>
      </c>
      <c r="H24" s="100" t="n">
        <v>80</v>
      </c>
      <c r="I24" s="100" t="n">
        <v>0</v>
      </c>
      <c r="J24" s="101" t="n">
        <v>6000</v>
      </c>
      <c r="K24" s="101" t="n">
        <v>0</v>
      </c>
      <c r="L24" s="102">
        <f>IFERROR(N(H24)+N(I24),"")</f>
        <v>80</v>
      </c>
      <c r="M24" s="103">
        <f>IFERROR(E24-(N(H24)+N(I24)),"")</f>
        <v>0</v>
      </c>
      <c r="N24" s="104">
        <f>IFERROR(N(J24)+N(K24),"")</f>
        <v>6000</v>
      </c>
      <c r="O24" s="105">
        <f>IFERROR(F24-(N(J24)+N(K24)),"")</f>
        <v>0</v>
      </c>
      <c r="P24" s="90" t="str">
        <f>IF(OR(AND(H24&lt;&gt;"",NOT(ISNUMBER(H24))),AND(I24&lt;&gt;"",NOT(ISNUMBER(I24))),AND(J24&lt;&gt;"",NOT(ISNUMBER(J24))),AND(K24&lt;&gt;"",NOT(ISNUMBER(K24)))),"Not a number",IF(OR(N(H24)&lt;0,N(I24)&lt;0,N(J24)&lt;0,N(K24)&lt;0),"Negative value",IF(AND(W24=0,OR(N(H24)&gt;0,N(J24)&gt;0)),"Start date needed",IF(AND(X24=1,OR(N(I24)&gt;0,N(K24)&gt;0)),"Remaining on finished work",IF(Z24=1,IF(OR(N(H24)&lt;Q24-0.005,N(J24)&lt;S24-0.005),"Actual reduced",IF(OR(N(H24)+N(I24)&gt;E24+0.005,N(J24)+N(K24)&gt;F24+0.005),"Over budget","✓ Updated")),IF(Y24=1,"Actuals not given","Not changed yet"))))))</f>
        <v>Not changed yet</v>
      </c>
      <c r="Q24" t="n">
        <v>80</v>
      </c>
      <c r="R24" t="n">
        <v>0</v>
      </c>
      <c r="S24" t="n">
        <v>6000</v>
      </c>
      <c r="T24" t="n">
        <v>0</v>
      </c>
      <c r="U24" t="inlineStr">
        <is>
          <t>7016</t>
        </is>
      </c>
      <c r="V24" t="n">
        <v>0</v>
      </c>
      <c r="W24">
        <f>IF('Dan Lowe'!G26&lt;&gt;"",1,0)</f>
        <v>1</v>
      </c>
      <c r="X24">
        <f>IF('Dan Lowe'!H26&lt;&gt;"",1,0)</f>
        <v>1</v>
      </c>
      <c r="Y24">
        <f>IF(OR('Dan Lowe'!G26&lt;&gt;'Dan Lowe'!T26,'Dan Lowe'!H26&lt;&gt;'Dan Lowe'!U26,N('Dan Lowe'!I26)&gt;0),1,0)</f>
        <v>0</v>
      </c>
      <c r="Z24">
        <f>IF(OR(H24&lt;&gt;Q24,I24&lt;&gt;R24,J24&lt;&gt;S24,K24&lt;&gt;T24),1,0)</f>
        <v>0</v>
      </c>
    </row>
    <row r="25">
      <c r="A25" s="80" t="inlineStr">
        <is>
          <t>A1180</t>
        </is>
      </c>
      <c r="B25" s="80" t="inlineStr">
        <is>
          <t>Design package 18</t>
        </is>
      </c>
      <c r="C25" s="80" t="inlineStr">
        <is>
          <t>Design Engineer</t>
        </is>
      </c>
      <c r="D25" s="80" t="inlineStr">
        <is>
          <t>Labour · h</t>
        </is>
      </c>
      <c r="E25" s="98" t="n">
        <v>16</v>
      </c>
      <c r="F25" s="99" t="n">
        <v>880</v>
      </c>
      <c r="G25" s="99" t="n">
        <v>0</v>
      </c>
      <c r="H25" s="100" t="n">
        <v>16</v>
      </c>
      <c r="I25" s="100" t="n">
        <v>0</v>
      </c>
      <c r="J25" s="101" t="n">
        <v>880</v>
      </c>
      <c r="K25" s="101" t="n">
        <v>0</v>
      </c>
      <c r="L25" s="102">
        <f>IFERROR(N(H25)+N(I25),"")</f>
        <v>16</v>
      </c>
      <c r="M25" s="103">
        <f>IFERROR(E25-(N(H25)+N(I25)),"")</f>
        <v>0</v>
      </c>
      <c r="N25" s="104">
        <f>IFERROR(N(J25)+N(K25),"")</f>
        <v>880</v>
      </c>
      <c r="O25" s="105">
        <f>IFERROR(F25-(N(J25)+N(K25)),"")</f>
        <v>0</v>
      </c>
      <c r="P25" s="90" t="str">
        <f>IF(OR(AND(H25&lt;&gt;"",NOT(ISNUMBER(H25))),AND(I25&lt;&gt;"",NOT(ISNUMBER(I25))),AND(J25&lt;&gt;"",NOT(ISNUMBER(J25))),AND(K25&lt;&gt;"",NOT(ISNUMBER(K25)))),"Not a number",IF(OR(N(H25)&lt;0,N(I25)&lt;0,N(J25)&lt;0,N(K25)&lt;0),"Negative value",IF(AND(W25=0,OR(N(H25)&gt;0,N(J25)&gt;0)),"Start date needed",IF(AND(X25=1,OR(N(I25)&gt;0,N(K25)&gt;0)),"Remaining on finished work",IF(Z25=1,IF(OR(N(H25)&lt;Q25-0.005,N(J25)&lt;S25-0.005),"Actual reduced",IF(OR(N(H25)+N(I25)&gt;E25+0.005,N(J25)+N(K25)&gt;F25+0.005),"Over budget","✓ Updated")),IF(Y25=1,"Actuals not given","Not changed yet"))))))</f>
        <v>Not changed yet</v>
      </c>
      <c r="Q25" t="n">
        <v>16</v>
      </c>
      <c r="R25" t="n">
        <v>0</v>
      </c>
      <c r="S25" t="n">
        <v>880</v>
      </c>
      <c r="T25" t="n">
        <v>0</v>
      </c>
      <c r="U25" t="inlineStr">
        <is>
          <t>7018</t>
        </is>
      </c>
      <c r="V25" t="n">
        <v>0</v>
      </c>
      <c r="W25">
        <f>IF('Dan Lowe'!G28&lt;&gt;"",1,0)</f>
        <v>1</v>
      </c>
      <c r="X25">
        <f>IF('Dan Lowe'!H28&lt;&gt;"",1,0)</f>
        <v>1</v>
      </c>
      <c r="Y25">
        <f>IF(OR('Dan Lowe'!G28&lt;&gt;'Dan Lowe'!T28,'Dan Lowe'!H28&lt;&gt;'Dan Lowe'!U28,N('Dan Lowe'!I28)&gt;0),1,0)</f>
        <v>0</v>
      </c>
      <c r="Z25">
        <f>IF(OR(H25&lt;&gt;Q25,I25&lt;&gt;R25,J25&lt;&gt;S25,K25&lt;&gt;T25),1,0)</f>
        <v>0</v>
      </c>
    </row>
    <row r="26">
      <c r="A26" s="80" t="inlineStr">
        <is>
          <t>A1190</t>
        </is>
      </c>
      <c r="B26" s="80" t="inlineStr">
        <is>
          <t>Design package 19</t>
        </is>
      </c>
      <c r="C26" s="80" t="inlineStr">
        <is>
          <t>Site Labour</t>
        </is>
      </c>
      <c r="D26" s="80" t="inlineStr">
        <is>
          <t>Labour · h</t>
        </is>
      </c>
      <c r="E26" s="98" t="n">
        <v>40</v>
      </c>
      <c r="F26" s="99" t="n">
        <v>3000</v>
      </c>
      <c r="G26" s="99" t="n">
        <v>0</v>
      </c>
      <c r="H26" s="100" t="n">
        <v>40</v>
      </c>
      <c r="I26" s="100" t="n">
        <v>0</v>
      </c>
      <c r="J26" s="101" t="n">
        <v>3000</v>
      </c>
      <c r="K26" s="101" t="n">
        <v>0</v>
      </c>
      <c r="L26" s="102">
        <f>IFERROR(N(H26)+N(I26),"")</f>
        <v>40</v>
      </c>
      <c r="M26" s="103">
        <f>IFERROR(E26-(N(H26)+N(I26)),"")</f>
        <v>0</v>
      </c>
      <c r="N26" s="104">
        <f>IFERROR(N(J26)+N(K26),"")</f>
        <v>3000</v>
      </c>
      <c r="O26" s="105">
        <f>IFERROR(F26-(N(J26)+N(K26)),"")</f>
        <v>0</v>
      </c>
      <c r="P26" s="90" t="str">
        <f>IF(OR(AND(H26&lt;&gt;"",NOT(ISNUMBER(H26))),AND(I26&lt;&gt;"",NOT(ISNUMBER(I26))),AND(J26&lt;&gt;"",NOT(ISNUMBER(J26))),AND(K26&lt;&gt;"",NOT(ISNUMBER(K26)))),"Not a number",IF(OR(N(H26)&lt;0,N(I26)&lt;0,N(J26)&lt;0,N(K26)&lt;0),"Negative value",IF(AND(W26=0,OR(N(H26)&gt;0,N(J26)&gt;0)),"Start date needed",IF(AND(X26=1,OR(N(I26)&gt;0,N(K26)&gt;0)),"Remaining on finished work",IF(Z26=1,IF(OR(N(H26)&lt;Q26-0.005,N(J26)&lt;S26-0.005),"Actual reduced",IF(OR(N(H26)+N(I26)&gt;E26+0.005,N(J26)+N(K26)&gt;F26+0.005),"Over budget","✓ Updated")),IF(Y26=1,"Actuals not given","Not changed yet"))))))</f>
        <v>Not changed yet</v>
      </c>
      <c r="Q26" t="n">
        <v>40</v>
      </c>
      <c r="R26" t="n">
        <v>0</v>
      </c>
      <c r="S26" t="n">
        <v>3000</v>
      </c>
      <c r="T26" t="n">
        <v>0</v>
      </c>
      <c r="U26" t="inlineStr">
        <is>
          <t>7019</t>
        </is>
      </c>
      <c r="V26" t="n">
        <v>0</v>
      </c>
      <c r="W26">
        <f>IF('Dan Lowe'!G29&lt;&gt;"",1,0)</f>
        <v>1</v>
      </c>
      <c r="X26">
        <f>IF('Dan Lowe'!H29&lt;&gt;"",1,0)</f>
        <v>1</v>
      </c>
      <c r="Y26">
        <f>IF(OR('Dan Lowe'!G29&lt;&gt;'Dan Lowe'!T29,'Dan Lowe'!H29&lt;&gt;'Dan Lowe'!U29,N('Dan Lowe'!I29)&gt;0),1,0)</f>
        <v>0</v>
      </c>
      <c r="Z26">
        <f>IF(OR(H26&lt;&gt;Q26,I26&lt;&gt;R26,J26&lt;&gt;S26,K26&lt;&gt;T26),1,0)</f>
        <v>0</v>
      </c>
    </row>
    <row r="27" ht="18" customHeight="1">
      <c r="A27" s="78" t="inlineStr">
        <is>
          <t>Priya Menon - Project Manager</t>
        </is>
      </c>
      <c r="B27" s="79" t="n"/>
      <c r="C27" s="79" t="n"/>
      <c r="D27" s="79" t="n"/>
      <c r="E27" s="79" t="n"/>
      <c r="F27" s="79" t="n"/>
      <c r="G27" s="79" t="n"/>
      <c r="H27" s="79" t="n"/>
      <c r="I27" s="79" t="n"/>
      <c r="J27" s="79" t="n"/>
      <c r="K27" s="79" t="n"/>
      <c r="L27" s="79" t="n"/>
      <c r="M27" s="79" t="n"/>
      <c r="N27" s="79" t="n"/>
      <c r="O27" s="79" t="n"/>
      <c r="P27" s="79" t="n"/>
    </row>
    <row r="28">
      <c r="A28" s="80" t="inlineStr">
        <is>
          <t>A1000</t>
        </is>
      </c>
      <c r="B28" s="80" t="inlineStr">
        <is>
          <t>Design package 00</t>
        </is>
      </c>
      <c r="C28" s="80" t="inlineStr">
        <is>
          <t>Design Engineer</t>
        </is>
      </c>
      <c r="D28" s="80" t="inlineStr">
        <is>
          <t>Labour · h</t>
        </is>
      </c>
      <c r="E28" s="98" t="n">
        <v>40</v>
      </c>
      <c r="F28" s="99" t="n">
        <v>2200</v>
      </c>
      <c r="G28" s="99" t="n">
        <v>0</v>
      </c>
      <c r="H28" s="100" t="n">
        <v>40</v>
      </c>
      <c r="I28" s="100" t="n">
        <v>0</v>
      </c>
      <c r="J28" s="101" t="n">
        <v>2200</v>
      </c>
      <c r="K28" s="101" t="n">
        <v>0</v>
      </c>
      <c r="L28" s="102">
        <f>IFERROR(N(H28)+N(I28),"")</f>
        <v>40</v>
      </c>
      <c r="M28" s="103">
        <f>IFERROR(E28-(N(H28)+N(I28)),"")</f>
        <v>0</v>
      </c>
      <c r="N28" s="104">
        <f>IFERROR(N(J28)+N(K28),"")</f>
        <v>2200</v>
      </c>
      <c r="O28" s="105">
        <f>IFERROR(F28-(N(J28)+N(K28)),"")</f>
        <v>0</v>
      </c>
      <c r="P28" s="90" t="str">
        <f>IF(OR(AND(H28&lt;&gt;"",NOT(ISNUMBER(H28))),AND(I28&lt;&gt;"",NOT(ISNUMBER(I28))),AND(J28&lt;&gt;"",NOT(ISNUMBER(J28))),AND(K28&lt;&gt;"",NOT(ISNUMBER(K28)))),"Not a number",IF(OR(N(H28)&lt;0,N(I28)&lt;0,N(J28)&lt;0,N(K28)&lt;0),"Negative value",IF(AND(W28=0,OR(N(H28)&gt;0,N(J28)&gt;0)),"Start date needed",IF(AND(X28=1,OR(N(I28)&gt;0,N(K28)&gt;0)),"Remaining on finished work",IF(Z28=1,IF(OR(N(H28)&lt;Q28-0.005,N(J28)&lt;S28-0.005),"Actual reduced",IF(OR(N(H28)+N(I28)&gt;E28+0.005,N(J28)+N(K28)&gt;F28+0.005),"Over budget","✓ Updated")),IF(Y28=1,"Actuals not given","Not changed yet"))))))</f>
        <v>Not changed yet</v>
      </c>
      <c r="Q28" t="n">
        <v>40</v>
      </c>
      <c r="R28" t="n">
        <v>0</v>
      </c>
      <c r="S28" t="n">
        <v>2200</v>
      </c>
      <c r="T28" t="n">
        <v>0</v>
      </c>
      <c r="U28" t="inlineStr">
        <is>
          <t>7000</t>
        </is>
      </c>
      <c r="V28" t="n">
        <v>0</v>
      </c>
      <c r="W28">
        <f>IF('Priya Menon'!G11&lt;&gt;"",1,0)</f>
        <v>1</v>
      </c>
      <c r="X28">
        <f>IF('Priya Menon'!H11&lt;&gt;"",1,0)</f>
        <v>1</v>
      </c>
      <c r="Y28">
        <f>IF(OR('Priya Menon'!G11&lt;&gt;'Priya Menon'!T11,'Priya Menon'!H11&lt;&gt;'Priya Menon'!U11,N('Priya Menon'!I11)&gt;0),1,0)</f>
        <v>0</v>
      </c>
      <c r="Z28">
        <f>IF(OR(H28&lt;&gt;Q28,I28&lt;&gt;R28,J28&lt;&gt;S28,K28&lt;&gt;T28),1,0)</f>
        <v>0</v>
      </c>
    </row>
    <row r="29" ht="18" customHeight="1">
      <c r="A29" s="78" t="inlineStr">
        <is>
          <t>Sara Moss - Site Manager</t>
        </is>
      </c>
      <c r="B29" s="79" t="n"/>
      <c r="C29" s="79" t="n"/>
      <c r="D29" s="79" t="n"/>
      <c r="E29" s="79" t="n"/>
      <c r="F29" s="79" t="n"/>
      <c r="G29" s="79" t="n"/>
      <c r="H29" s="79" t="n"/>
      <c r="I29" s="79" t="n"/>
      <c r="J29" s="79" t="n"/>
      <c r="K29" s="79" t="n"/>
      <c r="L29" s="79" t="n"/>
      <c r="M29" s="79" t="n"/>
      <c r="N29" s="79" t="n"/>
      <c r="O29" s="79" t="n"/>
      <c r="P29" s="79" t="n"/>
    </row>
    <row r="30">
      <c r="A30" s="80" t="inlineStr">
        <is>
          <t>A1200</t>
        </is>
      </c>
      <c r="B30" s="80" t="inlineStr">
        <is>
          <t>Build package 20</t>
        </is>
      </c>
      <c r="C30" s="80" t="inlineStr">
        <is>
          <t>Bulk Materials</t>
        </is>
      </c>
      <c r="D30" s="80" t="inlineStr">
        <is>
          <t>Material · units</t>
        </is>
      </c>
      <c r="E30" s="98" t="n">
        <v>80</v>
      </c>
      <c r="F30" s="99" t="n">
        <v>7600</v>
      </c>
      <c r="G30" s="99" t="n">
        <v>0</v>
      </c>
      <c r="H30" s="100" t="n">
        <v>80</v>
      </c>
      <c r="I30" s="100" t="n">
        <v>0</v>
      </c>
      <c r="J30" s="101" t="n">
        <v>7600</v>
      </c>
      <c r="K30" s="101" t="n">
        <v>0</v>
      </c>
      <c r="L30" s="102">
        <f>IFERROR(N(H30)+N(I30),"")</f>
        <v>80</v>
      </c>
      <c r="M30" s="103">
        <f>IFERROR(E30-(N(H30)+N(I30)),"")</f>
        <v>0</v>
      </c>
      <c r="N30" s="104">
        <f>IFERROR(N(J30)+N(K30),"")</f>
        <v>7600</v>
      </c>
      <c r="O30" s="105">
        <f>IFERROR(F30-(N(J30)+N(K30)),"")</f>
        <v>0</v>
      </c>
      <c r="P30" s="90" t="str">
        <f>IF(OR(AND(H30&lt;&gt;"",NOT(ISNUMBER(H30))),AND(I30&lt;&gt;"",NOT(ISNUMBER(I30))),AND(J30&lt;&gt;"",NOT(ISNUMBER(J30))),AND(K30&lt;&gt;"",NOT(ISNUMBER(K30)))),"Not a number",IF(OR(N(H30)&lt;0,N(I30)&lt;0,N(J30)&lt;0,N(K30)&lt;0),"Negative value",IF(AND(W30=0,OR(N(H30)&gt;0,N(J30)&gt;0)),"Start date needed",IF(AND(X30=1,OR(N(I30)&gt;0,N(K30)&gt;0)),"Remaining on finished work",IF(Z30=1,IF(OR(N(H30)&lt;Q30-0.005,N(J30)&lt;S30-0.005),"Actual reduced",IF(OR(N(H30)+N(I30)&gt;E30+0.005,N(J30)+N(K30)&gt;F30+0.005),"Over budget","✓ Updated")),IF(Y30=1,"Actuals not given","Not changed yet"))))))</f>
        <v>Not changed yet</v>
      </c>
      <c r="Q30" t="n">
        <v>80</v>
      </c>
      <c r="R30" t="n">
        <v>0</v>
      </c>
      <c r="S30" t="n">
        <v>7600</v>
      </c>
      <c r="T30" t="n">
        <v>0</v>
      </c>
      <c r="U30" t="inlineStr">
        <is>
          <t>7020</t>
        </is>
      </c>
      <c r="V30" t="n">
        <v>0</v>
      </c>
      <c r="W30">
        <f>IF('Sara Moss'!G11&lt;&gt;"",1,0)</f>
        <v>1</v>
      </c>
      <c r="X30">
        <f>IF('Sara Moss'!H11&lt;&gt;"",1,0)</f>
        <v>1</v>
      </c>
      <c r="Y30">
        <f>IF(OR('Sara Moss'!G11&lt;&gt;'Sara Moss'!T11,'Sara Moss'!H11&lt;&gt;'Sara Moss'!U11,N('Sara Moss'!I11)&gt;0),1,0)</f>
        <v>0</v>
      </c>
      <c r="Z30">
        <f>IF(OR(H30&lt;&gt;Q30,I30&lt;&gt;R30,J30&lt;&gt;S30,K30&lt;&gt;T30),1,0)</f>
        <v>0</v>
      </c>
    </row>
    <row r="31">
      <c r="A31" s="80" t="inlineStr">
        <is>
          <t>A1220</t>
        </is>
      </c>
      <c r="B31" s="80" t="inlineStr">
        <is>
          <t>Build package 22</t>
        </is>
      </c>
      <c r="C31" s="80" t="inlineStr">
        <is>
          <t>Site Labour</t>
        </is>
      </c>
      <c r="D31" s="80" t="inlineStr">
        <is>
          <t>Labour · h</t>
        </is>
      </c>
      <c r="E31" s="98" t="n">
        <v>80</v>
      </c>
      <c r="F31" s="99" t="n">
        <v>6000</v>
      </c>
      <c r="G31" s="99" t="n">
        <v>0</v>
      </c>
      <c r="H31" s="100" t="n">
        <v>80</v>
      </c>
      <c r="I31" s="100" t="n">
        <v>0</v>
      </c>
      <c r="J31" s="101" t="n">
        <v>6000</v>
      </c>
      <c r="K31" s="101" t="n">
        <v>0</v>
      </c>
      <c r="L31" s="102">
        <f>IFERROR(N(H31)+N(I31),"")</f>
        <v>80</v>
      </c>
      <c r="M31" s="103">
        <f>IFERROR(E31-(N(H31)+N(I31)),"")</f>
        <v>0</v>
      </c>
      <c r="N31" s="104">
        <f>IFERROR(N(J31)+N(K31),"")</f>
        <v>6000</v>
      </c>
      <c r="O31" s="105">
        <f>IFERROR(F31-(N(J31)+N(K31)),"")</f>
        <v>0</v>
      </c>
      <c r="P31" s="90" t="str">
        <f>IF(OR(AND(H31&lt;&gt;"",NOT(ISNUMBER(H31))),AND(I31&lt;&gt;"",NOT(ISNUMBER(I31))),AND(J31&lt;&gt;"",NOT(ISNUMBER(J31))),AND(K31&lt;&gt;"",NOT(ISNUMBER(K31)))),"Not a number",IF(OR(N(H31)&lt;0,N(I31)&lt;0,N(J31)&lt;0,N(K31)&lt;0),"Negative value",IF(AND(W31=0,OR(N(H31)&gt;0,N(J31)&gt;0)),"Start date needed",IF(AND(X31=1,OR(N(I31)&gt;0,N(K31)&gt;0)),"Remaining on finished work",IF(Z31=1,IF(OR(N(H31)&lt;Q31-0.005,N(J31)&lt;S31-0.005),"Actual reduced",IF(OR(N(H31)+N(I31)&gt;E31+0.005,N(J31)+N(K31)&gt;F31+0.005),"Over budget","✓ Updated")),IF(Y31=1,"Actuals not given","Not changed yet"))))))</f>
        <v>Not changed yet</v>
      </c>
      <c r="Q31" t="n">
        <v>80</v>
      </c>
      <c r="R31" t="n">
        <v>0</v>
      </c>
      <c r="S31" t="n">
        <v>6000</v>
      </c>
      <c r="T31" t="n">
        <v>0</v>
      </c>
      <c r="U31" t="inlineStr">
        <is>
          <t>7022</t>
        </is>
      </c>
      <c r="V31" t="n">
        <v>0</v>
      </c>
      <c r="W31">
        <f>IF('Sara Moss'!G12&lt;&gt;"",1,0)</f>
        <v>1</v>
      </c>
      <c r="X31">
        <f>IF('Sara Moss'!H12&lt;&gt;"",1,0)</f>
        <v>1</v>
      </c>
      <c r="Y31">
        <f>IF(OR('Sara Moss'!G12&lt;&gt;'Sara Moss'!T12,'Sara Moss'!H12&lt;&gt;'Sara Moss'!U12,N('Sara Moss'!I12)&gt;0),1,0)</f>
        <v>0</v>
      </c>
      <c r="Z31">
        <f>IF(OR(H31&lt;&gt;Q31,I31&lt;&gt;R31,J31&lt;&gt;S31,K31&lt;&gt;T31),1,0)</f>
        <v>0</v>
      </c>
    </row>
    <row r="32">
      <c r="A32" s="80" t="inlineStr">
        <is>
          <t>A1260</t>
        </is>
      </c>
      <c r="B32" s="80" t="inlineStr">
        <is>
          <t>Build package 26</t>
        </is>
      </c>
      <c r="C32" s="80" t="inlineStr">
        <is>
          <t>Bulk Materials</t>
        </is>
      </c>
      <c r="D32" s="80" t="inlineStr">
        <is>
          <t>Material · units</t>
        </is>
      </c>
      <c r="E32" s="98" t="n">
        <v>40</v>
      </c>
      <c r="F32" s="99" t="n">
        <v>3800</v>
      </c>
      <c r="G32" s="99" t="n">
        <v>0</v>
      </c>
      <c r="H32" s="100" t="n">
        <v>40</v>
      </c>
      <c r="I32" s="100" t="n">
        <v>0</v>
      </c>
      <c r="J32" s="101" t="n">
        <v>3800</v>
      </c>
      <c r="K32" s="101" t="n">
        <v>0</v>
      </c>
      <c r="L32" s="102">
        <f>IFERROR(N(H32)+N(I32),"")</f>
        <v>40</v>
      </c>
      <c r="M32" s="103">
        <f>IFERROR(E32-(N(H32)+N(I32)),"")</f>
        <v>0</v>
      </c>
      <c r="N32" s="104">
        <f>IFERROR(N(J32)+N(K32),"")</f>
        <v>3800</v>
      </c>
      <c r="O32" s="105">
        <f>IFERROR(F32-(N(J32)+N(K32)),"")</f>
        <v>0</v>
      </c>
      <c r="P32" s="90" t="str">
        <f>IF(OR(AND(H32&lt;&gt;"",NOT(ISNUMBER(H32))),AND(I32&lt;&gt;"",NOT(ISNUMBER(I32))),AND(J32&lt;&gt;"",NOT(ISNUMBER(J32))),AND(K32&lt;&gt;"",NOT(ISNUMBER(K32)))),"Not a number",IF(OR(N(H32)&lt;0,N(I32)&lt;0,N(J32)&lt;0,N(K32)&lt;0),"Negative value",IF(AND(W32=0,OR(N(H32)&gt;0,N(J32)&gt;0)),"Start date needed",IF(AND(X32=1,OR(N(I32)&gt;0,N(K32)&gt;0)),"Remaining on finished work",IF(Z32=1,IF(OR(N(H32)&lt;Q32-0.005,N(J32)&lt;S32-0.005),"Actual reduced",IF(OR(N(H32)+N(I32)&gt;E32+0.005,N(J32)+N(K32)&gt;F32+0.005),"Over budget","✓ Updated")),IF(Y32=1,"Actuals not given","Not changed yet"))))))</f>
        <v>Not changed yet</v>
      </c>
      <c r="Q32" t="n">
        <v>40</v>
      </c>
      <c r="R32" t="n">
        <v>0</v>
      </c>
      <c r="S32" t="n">
        <v>3800</v>
      </c>
      <c r="T32" t="n">
        <v>0</v>
      </c>
      <c r="U32" t="inlineStr">
        <is>
          <t>7026</t>
        </is>
      </c>
      <c r="V32" t="n">
        <v>0</v>
      </c>
      <c r="W32">
        <f>IF('Sara Moss'!G14&lt;&gt;"",1,0)</f>
        <v>1</v>
      </c>
      <c r="X32">
        <f>IF('Sara Moss'!H14&lt;&gt;"",1,0)</f>
        <v>1</v>
      </c>
      <c r="Y32">
        <f>IF(OR('Sara Moss'!G14&lt;&gt;'Sara Moss'!T14,'Sara Moss'!H14&lt;&gt;'Sara Moss'!U14,N('Sara Moss'!I14)&gt;0),1,0)</f>
        <v>0</v>
      </c>
      <c r="Z32">
        <f>IF(OR(H32&lt;&gt;Q32,I32&lt;&gt;R32,J32&lt;&gt;S32,K32&lt;&gt;T32),1,0)</f>
        <v>0</v>
      </c>
    </row>
    <row r="33">
      <c r="A33" s="80" t="inlineStr">
        <is>
          <t>A1280</t>
        </is>
      </c>
      <c r="B33" s="80" t="inlineStr">
        <is>
          <t>Build package 28</t>
        </is>
      </c>
      <c r="C33" s="80" t="inlineStr">
        <is>
          <t>Site Labour</t>
        </is>
      </c>
      <c r="D33" s="80" t="inlineStr">
        <is>
          <t>Labour · h</t>
        </is>
      </c>
      <c r="E33" s="98" t="n">
        <v>120</v>
      </c>
      <c r="F33" s="99" t="n">
        <v>9000</v>
      </c>
      <c r="G33" s="99" t="n">
        <v>0</v>
      </c>
      <c r="H33" s="100" t="n">
        <v>120</v>
      </c>
      <c r="I33" s="100" t="n">
        <v>0</v>
      </c>
      <c r="J33" s="101" t="n">
        <v>9000</v>
      </c>
      <c r="K33" s="101" t="n">
        <v>0</v>
      </c>
      <c r="L33" s="102">
        <f>IFERROR(N(H33)+N(I33),"")</f>
        <v>120</v>
      </c>
      <c r="M33" s="103">
        <f>IFERROR(E33-(N(H33)+N(I33)),"")</f>
        <v>0</v>
      </c>
      <c r="N33" s="104">
        <f>IFERROR(N(J33)+N(K33),"")</f>
        <v>9000</v>
      </c>
      <c r="O33" s="105">
        <f>IFERROR(F33-(N(J33)+N(K33)),"")</f>
        <v>0</v>
      </c>
      <c r="P33" s="90" t="str">
        <f>IF(OR(AND(H33&lt;&gt;"",NOT(ISNUMBER(H33))),AND(I33&lt;&gt;"",NOT(ISNUMBER(I33))),AND(J33&lt;&gt;"",NOT(ISNUMBER(J33))),AND(K33&lt;&gt;"",NOT(ISNUMBER(K33)))),"Not a number",IF(OR(N(H33)&lt;0,N(I33)&lt;0,N(J33)&lt;0,N(K33)&lt;0),"Negative value",IF(AND(W33=0,OR(N(H33)&gt;0,N(J33)&gt;0)),"Start date needed",IF(AND(X33=1,OR(N(I33)&gt;0,N(K33)&gt;0)),"Remaining on finished work",IF(Z33=1,IF(OR(N(H33)&lt;Q33-0.005,N(J33)&lt;S33-0.005),"Actual reduced",IF(OR(N(H33)+N(I33)&gt;E33+0.005,N(J33)+N(K33)&gt;F33+0.005),"Over budget","✓ Updated")),IF(Y33=1,"Actuals not given","Not changed yet"))))))</f>
        <v>Not changed yet</v>
      </c>
      <c r="Q33" t="n">
        <v>120</v>
      </c>
      <c r="R33" t="n">
        <v>0</v>
      </c>
      <c r="S33" t="n">
        <v>9000</v>
      </c>
      <c r="T33" t="n">
        <v>0</v>
      </c>
      <c r="U33" t="inlineStr">
        <is>
          <t>7028</t>
        </is>
      </c>
      <c r="V33" t="n">
        <v>0</v>
      </c>
      <c r="W33">
        <f>IF('Sara Moss'!G15&lt;&gt;"",1,0)</f>
        <v>1</v>
      </c>
      <c r="X33">
        <f>IF('Sara Moss'!H15&lt;&gt;"",1,0)</f>
        <v>1</v>
      </c>
      <c r="Y33">
        <f>IF(OR('Sara Moss'!G15&lt;&gt;'Sara Moss'!T15,'Sara Moss'!H15&lt;&gt;'Sara Moss'!U15,N('Sara Moss'!I15)&gt;0),1,0)</f>
        <v>0</v>
      </c>
      <c r="Z33">
        <f>IF(OR(H33&lt;&gt;Q33,I33&lt;&gt;R33,J33&lt;&gt;S33,K33&lt;&gt;T33),1,0)</f>
        <v>0</v>
      </c>
    </row>
    <row r="34">
      <c r="A34" s="80" t="inlineStr">
        <is>
          <t>A1300</t>
        </is>
      </c>
      <c r="B34" s="80" t="inlineStr">
        <is>
          <t>Build package 30</t>
        </is>
      </c>
      <c r="C34" s="80" t="inlineStr">
        <is>
          <t>Design Engineer</t>
        </is>
      </c>
      <c r="D34" s="80" t="inlineStr">
        <is>
          <t>Labour · h</t>
        </is>
      </c>
      <c r="E34" s="98" t="n">
        <v>80</v>
      </c>
      <c r="F34" s="99" t="n">
        <v>4400</v>
      </c>
      <c r="G34" s="99" t="n">
        <v>0</v>
      </c>
      <c r="H34" s="100" t="n">
        <v>80</v>
      </c>
      <c r="I34" s="100" t="n">
        <v>0</v>
      </c>
      <c r="J34" s="101" t="n">
        <v>4400</v>
      </c>
      <c r="K34" s="101" t="n">
        <v>0</v>
      </c>
      <c r="L34" s="102">
        <f>IFERROR(N(H34)+N(I34),"")</f>
        <v>80</v>
      </c>
      <c r="M34" s="103">
        <f>IFERROR(E34-(N(H34)+N(I34)),"")</f>
        <v>0</v>
      </c>
      <c r="N34" s="104">
        <f>IFERROR(N(J34)+N(K34),"")</f>
        <v>4400</v>
      </c>
      <c r="O34" s="105">
        <f>IFERROR(F34-(N(J34)+N(K34)),"")</f>
        <v>0</v>
      </c>
      <c r="P34" s="90" t="str">
        <f>IF(OR(AND(H34&lt;&gt;"",NOT(ISNUMBER(H34))),AND(I34&lt;&gt;"",NOT(ISNUMBER(I34))),AND(J34&lt;&gt;"",NOT(ISNUMBER(J34))),AND(K34&lt;&gt;"",NOT(ISNUMBER(K34)))),"Not a number",IF(OR(N(H34)&lt;0,N(I34)&lt;0,N(J34)&lt;0,N(K34)&lt;0),"Negative value",IF(AND(W34=0,OR(N(H34)&gt;0,N(J34)&gt;0)),"Start date needed",IF(AND(X34=1,OR(N(I34)&gt;0,N(K34)&gt;0)),"Remaining on finished work",IF(Z34=1,IF(OR(N(H34)&lt;Q34-0.005,N(J34)&lt;S34-0.005),"Actual reduced",IF(OR(N(H34)+N(I34)&gt;E34+0.005,N(J34)+N(K34)&gt;F34+0.005),"Over budget","✓ Updated")),IF(Y34=1,"Actuals not given","Not changed yet"))))))</f>
        <v>Not changed yet</v>
      </c>
      <c r="Q34" t="n">
        <v>80</v>
      </c>
      <c r="R34" t="n">
        <v>0</v>
      </c>
      <c r="S34" t="n">
        <v>4400</v>
      </c>
      <c r="T34" t="n">
        <v>0</v>
      </c>
      <c r="U34" t="inlineStr">
        <is>
          <t>7030</t>
        </is>
      </c>
      <c r="V34" t="n">
        <v>0</v>
      </c>
      <c r="W34">
        <f>IF('Sara Moss'!G16&lt;&gt;"",1,0)</f>
        <v>1</v>
      </c>
      <c r="X34">
        <f>IF('Sara Moss'!H16&lt;&gt;"",1,0)</f>
        <v>1</v>
      </c>
      <c r="Y34">
        <f>IF(OR('Sara Moss'!G16&lt;&gt;'Sara Moss'!T16,'Sara Moss'!H16&lt;&gt;'Sara Moss'!U16,N('Sara Moss'!I16)&gt;0),1,0)</f>
        <v>0</v>
      </c>
      <c r="Z34">
        <f>IF(OR(H34&lt;&gt;Q34,I34&lt;&gt;R34,J34&lt;&gt;S34,K34&lt;&gt;T34),1,0)</f>
        <v>0</v>
      </c>
    </row>
    <row r="35">
      <c r="A35" s="80" t="inlineStr">
        <is>
          <t>A1320</t>
        </is>
      </c>
      <c r="B35" s="80" t="inlineStr">
        <is>
          <t>Build package 32</t>
        </is>
      </c>
      <c r="C35" s="80" t="inlineStr">
        <is>
          <t>Bulk Materials</t>
        </is>
      </c>
      <c r="D35" s="80" t="inlineStr">
        <is>
          <t>Material · units</t>
        </is>
      </c>
      <c r="E35" s="98" t="n">
        <v>40</v>
      </c>
      <c r="F35" s="99" t="n">
        <v>3800</v>
      </c>
      <c r="G35" s="99" t="n">
        <v>0</v>
      </c>
      <c r="H35" s="100" t="n">
        <v>32</v>
      </c>
      <c r="I35" s="100" t="n">
        <v>8</v>
      </c>
      <c r="J35" s="101" t="n">
        <v>3040</v>
      </c>
      <c r="K35" s="101" t="n">
        <v>760</v>
      </c>
      <c r="L35" s="102">
        <f>IFERROR(N(H35)+N(I35),"")</f>
        <v>40</v>
      </c>
      <c r="M35" s="103">
        <f>IFERROR(E35-(N(H35)+N(I35)),"")</f>
        <v>0</v>
      </c>
      <c r="N35" s="104">
        <f>IFERROR(N(J35)+N(K35),"")</f>
        <v>3800</v>
      </c>
      <c r="O35" s="105">
        <f>IFERROR(F35-(N(J35)+N(K35)),"")</f>
        <v>0</v>
      </c>
      <c r="P35" s="90" t="str">
        <f>IF(OR(AND(H35&lt;&gt;"",NOT(ISNUMBER(H35))),AND(I35&lt;&gt;"",NOT(ISNUMBER(I35))),AND(J35&lt;&gt;"",NOT(ISNUMBER(J35))),AND(K35&lt;&gt;"",NOT(ISNUMBER(K35)))),"Not a number",IF(OR(N(H35)&lt;0,N(I35)&lt;0,N(J35)&lt;0,N(K35)&lt;0),"Negative value",IF(AND(W35=0,OR(N(H35)&gt;0,N(J35)&gt;0)),"Start date needed",IF(AND(X35=1,OR(N(I35)&gt;0,N(K35)&gt;0)),"Remaining on finished work",IF(Z35=1,IF(OR(N(H35)&lt;Q35-0.005,N(J35)&lt;S35-0.005),"Actual reduced",IF(OR(N(H35)+N(I35)&gt;E35+0.005,N(J35)+N(K35)&gt;F35+0.005),"Over budget","✓ Updated")),IF(Y35=1,"Actuals not given","Not changed yet"))))))</f>
        <v>Not changed yet</v>
      </c>
      <c r="Q35" t="n">
        <v>32</v>
      </c>
      <c r="R35" t="n">
        <v>8</v>
      </c>
      <c r="S35" t="n">
        <v>3040</v>
      </c>
      <c r="T35" t="n">
        <v>760</v>
      </c>
      <c r="U35" t="inlineStr">
        <is>
          <t>7032</t>
        </is>
      </c>
      <c r="V35" t="n">
        <v>0</v>
      </c>
      <c r="W35">
        <f>IF('Sara Moss'!G17&lt;&gt;"",1,0)</f>
        <v>1</v>
      </c>
      <c r="X35">
        <f>IF('Sara Moss'!H17&lt;&gt;"",1,0)</f>
        <v>0</v>
      </c>
      <c r="Y35">
        <f>IF(OR('Sara Moss'!G17&lt;&gt;'Sara Moss'!T17,'Sara Moss'!H17&lt;&gt;'Sara Moss'!U17,N('Sara Moss'!I17)&gt;0),1,0)</f>
        <v>0</v>
      </c>
      <c r="Z35">
        <f>IF(OR(H35&lt;&gt;Q35,I35&lt;&gt;R35,J35&lt;&gt;S35,K35&lt;&gt;T35),1,0)</f>
        <v>0</v>
      </c>
    </row>
    <row r="36">
      <c r="A36" s="80" t="inlineStr">
        <is>
          <t>A1340</t>
        </is>
      </c>
      <c r="B36" s="80" t="inlineStr">
        <is>
          <t>Build package 34</t>
        </is>
      </c>
      <c r="C36" s="80" t="inlineStr">
        <is>
          <t>Site Labour</t>
        </is>
      </c>
      <c r="D36" s="80" t="inlineStr">
        <is>
          <t>Labour · h</t>
        </is>
      </c>
      <c r="E36" s="98" t="n">
        <v>24</v>
      </c>
      <c r="F36" s="99" t="n">
        <v>1800</v>
      </c>
      <c r="G36" s="99" t="n">
        <v>0</v>
      </c>
      <c r="H36" s="100" t="n">
        <v>9.6</v>
      </c>
      <c r="I36" s="100" t="n">
        <v>14.4</v>
      </c>
      <c r="J36" s="101" t="n">
        <v>720</v>
      </c>
      <c r="K36" s="101" t="n">
        <v>1080</v>
      </c>
      <c r="L36" s="102">
        <f>IFERROR(N(H36)+N(I36),"")</f>
        <v>24</v>
      </c>
      <c r="M36" s="103">
        <f>IFERROR(E36-(N(H36)+N(I36)),"")</f>
        <v>0</v>
      </c>
      <c r="N36" s="104">
        <f>IFERROR(N(J36)+N(K36),"")</f>
        <v>1800</v>
      </c>
      <c r="O36" s="105">
        <f>IFERROR(F36-(N(J36)+N(K36)),"")</f>
        <v>0</v>
      </c>
      <c r="P36" s="90" t="str">
        <f>IF(OR(AND(H36&lt;&gt;"",NOT(ISNUMBER(H36))),AND(I36&lt;&gt;"",NOT(ISNUMBER(I36))),AND(J36&lt;&gt;"",NOT(ISNUMBER(J36))),AND(K36&lt;&gt;"",NOT(ISNUMBER(K36)))),"Not a number",IF(OR(N(H36)&lt;0,N(I36)&lt;0,N(J36)&lt;0,N(K36)&lt;0),"Negative value",IF(AND(W36=0,OR(N(H36)&gt;0,N(J36)&gt;0)),"Start date needed",IF(AND(X36=1,OR(N(I36)&gt;0,N(K36)&gt;0)),"Remaining on finished work",IF(Z36=1,IF(OR(N(H36)&lt;Q36-0.005,N(J36)&lt;S36-0.005),"Actual reduced",IF(OR(N(H36)+N(I36)&gt;E36+0.005,N(J36)+N(K36)&gt;F36+0.005),"Over budget","✓ Updated")),IF(Y36=1,"Actuals not given","Not changed yet"))))))</f>
        <v>Not changed yet</v>
      </c>
      <c r="Q36" t="n">
        <v>9.6</v>
      </c>
      <c r="R36" t="n">
        <v>14.4</v>
      </c>
      <c r="S36" t="n">
        <v>720</v>
      </c>
      <c r="T36" t="n">
        <v>1080</v>
      </c>
      <c r="U36" t="inlineStr">
        <is>
          <t>7034</t>
        </is>
      </c>
      <c r="V36" t="n">
        <v>0</v>
      </c>
      <c r="W36">
        <f>IF('Sara Moss'!G18&lt;&gt;"",1,0)</f>
        <v>1</v>
      </c>
      <c r="X36">
        <f>IF('Sara Moss'!H18&lt;&gt;"",1,0)</f>
        <v>0</v>
      </c>
      <c r="Y36">
        <f>IF(OR('Sara Moss'!G18&lt;&gt;'Sara Moss'!T18,'Sara Moss'!H18&lt;&gt;'Sara Moss'!U18,N('Sara Moss'!I18)&gt;0),1,0)</f>
        <v>0</v>
      </c>
      <c r="Z36">
        <f>IF(OR(H36&lt;&gt;Q36,I36&lt;&gt;R36,J36&lt;&gt;S36,K36&lt;&gt;T36),1,0)</f>
        <v>0</v>
      </c>
    </row>
    <row r="37">
      <c r="A37" s="80" t="inlineStr">
        <is>
          <t>A1360</t>
        </is>
      </c>
      <c r="B37" s="80" t="inlineStr">
        <is>
          <t>Build package 36</t>
        </is>
      </c>
      <c r="C37" s="80" t="inlineStr">
        <is>
          <t>Design Engineer</t>
        </is>
      </c>
      <c r="D37" s="80" t="inlineStr">
        <is>
          <t>Labour · h</t>
        </is>
      </c>
      <c r="E37" s="98" t="n">
        <v>120</v>
      </c>
      <c r="F37" s="99" t="n">
        <v>6600</v>
      </c>
      <c r="G37" s="99" t="n">
        <v>0</v>
      </c>
      <c r="H37" s="100" t="n">
        <v>12</v>
      </c>
      <c r="I37" s="100" t="n">
        <v>108</v>
      </c>
      <c r="J37" s="101" t="n">
        <v>660</v>
      </c>
      <c r="K37" s="101" t="n">
        <v>5940</v>
      </c>
      <c r="L37" s="102">
        <f>IFERROR(N(H37)+N(I37),"")</f>
        <v>120</v>
      </c>
      <c r="M37" s="103">
        <f>IFERROR(E37-(N(H37)+N(I37)),"")</f>
        <v>0</v>
      </c>
      <c r="N37" s="104">
        <f>IFERROR(N(J37)+N(K37),"")</f>
        <v>6600</v>
      </c>
      <c r="O37" s="105">
        <f>IFERROR(F37-(N(J37)+N(K37)),"")</f>
        <v>0</v>
      </c>
      <c r="P37" s="90" t="str">
        <f>IF(OR(AND(H37&lt;&gt;"",NOT(ISNUMBER(H37))),AND(I37&lt;&gt;"",NOT(ISNUMBER(I37))),AND(J37&lt;&gt;"",NOT(ISNUMBER(J37))),AND(K37&lt;&gt;"",NOT(ISNUMBER(K37)))),"Not a number",IF(OR(N(H37)&lt;0,N(I37)&lt;0,N(J37)&lt;0,N(K37)&lt;0),"Negative value",IF(AND(W37=0,OR(N(H37)&gt;0,N(J37)&gt;0)),"Start date needed",IF(AND(X37=1,OR(N(I37)&gt;0,N(K37)&gt;0)),"Remaining on finished work",IF(Z37=1,IF(OR(N(H37)&lt;Q37-0.005,N(J37)&lt;S37-0.005),"Actual reduced",IF(OR(N(H37)+N(I37)&gt;E37+0.005,N(J37)+N(K37)&gt;F37+0.005),"Over budget","✓ Updated")),IF(Y37=1,"Actuals not given","Not changed yet"))))))</f>
        <v>Not changed yet</v>
      </c>
      <c r="Q37" t="n">
        <v>12</v>
      </c>
      <c r="R37" t="n">
        <v>108</v>
      </c>
      <c r="S37" t="n">
        <v>660</v>
      </c>
      <c r="T37" t="n">
        <v>5940</v>
      </c>
      <c r="U37" t="inlineStr">
        <is>
          <t>7036</t>
        </is>
      </c>
      <c r="V37" t="n">
        <v>0</v>
      </c>
      <c r="W37">
        <f>IF('Sara Moss'!G19&lt;&gt;"",1,0)</f>
        <v>1</v>
      </c>
      <c r="X37">
        <f>IF('Sara Moss'!H19&lt;&gt;"",1,0)</f>
        <v>0</v>
      </c>
      <c r="Y37">
        <f>IF(OR('Sara Moss'!G19&lt;&gt;'Sara Moss'!T19,'Sara Moss'!H19&lt;&gt;'Sara Moss'!U19,N('Sara Moss'!I19)&gt;0),1,0)</f>
        <v>0</v>
      </c>
      <c r="Z37">
        <f>IF(OR(H37&lt;&gt;Q37,I37&lt;&gt;R37,J37&lt;&gt;S37,K37&lt;&gt;T37),1,0)</f>
        <v>0</v>
      </c>
    </row>
    <row r="38">
      <c r="A38" s="80" t="inlineStr">
        <is>
          <t>A1400</t>
        </is>
      </c>
      <c r="B38" s="80" t="inlineStr">
        <is>
          <t>Build package 40</t>
        </is>
      </c>
      <c r="C38" s="80" t="inlineStr">
        <is>
          <t>Site Labour</t>
        </is>
      </c>
      <c r="D38" s="80" t="inlineStr">
        <is>
          <t>Labour · h</t>
        </is>
      </c>
      <c r="E38" s="98" t="n">
        <v>40</v>
      </c>
      <c r="F38" s="99" t="n">
        <v>3000</v>
      </c>
      <c r="G38" s="99" t="n">
        <v>0</v>
      </c>
      <c r="H38" s="100" t="n">
        <v>0</v>
      </c>
      <c r="I38" s="100" t="n">
        <v>40</v>
      </c>
      <c r="J38" s="101" t="n">
        <v>0</v>
      </c>
      <c r="K38" s="101" t="n">
        <v>3000</v>
      </c>
      <c r="L38" s="102">
        <f>IFERROR(N(H38)+N(I38),"")</f>
        <v>40</v>
      </c>
      <c r="M38" s="103">
        <f>IFERROR(E38-(N(H38)+N(I38)),"")</f>
        <v>0</v>
      </c>
      <c r="N38" s="104">
        <f>IFERROR(N(J38)+N(K38),"")</f>
        <v>3000</v>
      </c>
      <c r="O38" s="105">
        <f>IFERROR(F38-(N(J38)+N(K38)),"")</f>
        <v>0</v>
      </c>
      <c r="P38" s="90" t="str">
        <f>IF(OR(AND(H38&lt;&gt;"",NOT(ISNUMBER(H38))),AND(I38&lt;&gt;"",NOT(ISNUMBER(I38))),AND(J38&lt;&gt;"",NOT(ISNUMBER(J38))),AND(K38&lt;&gt;"",NOT(ISNUMBER(K38)))),"Not a number",IF(OR(N(H38)&lt;0,N(I38)&lt;0,N(J38)&lt;0,N(K38)&lt;0),"Negative value",IF(AND(W38=0,OR(N(H38)&gt;0,N(J38)&gt;0)),"Start date needed",IF(AND(X38=1,OR(N(I38)&gt;0,N(K38)&gt;0)),"Remaining on finished work",IF(Z38=1,IF(OR(N(H38)&lt;Q38-0.005,N(J38)&lt;S38-0.005),"Actual reduced",IF(OR(N(H38)+N(I38)&gt;E38+0.005,N(J38)+N(K38)&gt;F38+0.005),"Over budget","✓ Updated")),IF(Y38=1,"Actuals not given","Not changed yet"))))))</f>
        <v>Not changed yet</v>
      </c>
      <c r="Q38" t="n">
        <v>0</v>
      </c>
      <c r="R38" t="n">
        <v>40</v>
      </c>
      <c r="S38" t="n">
        <v>0</v>
      </c>
      <c r="T38" t="n">
        <v>3000</v>
      </c>
      <c r="U38" t="inlineStr">
        <is>
          <t>7040</t>
        </is>
      </c>
      <c r="V38" t="n">
        <v>0</v>
      </c>
      <c r="W38">
        <f>IF('Sara Moss'!G21&lt;&gt;"",1,0)</f>
        <v>0</v>
      </c>
      <c r="X38">
        <f>IF('Sara Moss'!H21&lt;&gt;"",1,0)</f>
        <v>0</v>
      </c>
      <c r="Y38">
        <f>IF(OR('Sara Moss'!G21&lt;&gt;'Sara Moss'!T21,'Sara Moss'!H21&lt;&gt;'Sara Moss'!U21,N('Sara Moss'!I21)&gt;0),1,0)</f>
        <v>0</v>
      </c>
      <c r="Z38">
        <f>IF(OR(H38&lt;&gt;Q38,I38&lt;&gt;R38,J38&lt;&gt;S38,K38&lt;&gt;T38),1,0)</f>
        <v>0</v>
      </c>
    </row>
    <row r="39">
      <c r="A39" s="80" t="inlineStr">
        <is>
          <t>A1420</t>
        </is>
      </c>
      <c r="B39" s="80" t="inlineStr">
        <is>
          <t>Build package 42</t>
        </is>
      </c>
      <c r="C39" s="80" t="inlineStr">
        <is>
          <t>Design Engineer</t>
        </is>
      </c>
      <c r="D39" s="80" t="inlineStr">
        <is>
          <t>Labour · h</t>
        </is>
      </c>
      <c r="E39" s="98" t="n">
        <v>16</v>
      </c>
      <c r="F39" s="99" t="n">
        <v>880</v>
      </c>
      <c r="G39" s="99" t="n">
        <v>0</v>
      </c>
      <c r="H39" s="100" t="n">
        <v>0</v>
      </c>
      <c r="I39" s="100" t="n">
        <v>16</v>
      </c>
      <c r="J39" s="101" t="n">
        <v>0</v>
      </c>
      <c r="K39" s="101" t="n">
        <v>880</v>
      </c>
      <c r="L39" s="102">
        <f>IFERROR(N(H39)+N(I39),"")</f>
        <v>16</v>
      </c>
      <c r="M39" s="103">
        <f>IFERROR(E39-(N(H39)+N(I39)),"")</f>
        <v>0</v>
      </c>
      <c r="N39" s="104">
        <f>IFERROR(N(J39)+N(K39),"")</f>
        <v>880</v>
      </c>
      <c r="O39" s="105">
        <f>IFERROR(F39-(N(J39)+N(K39)),"")</f>
        <v>0</v>
      </c>
      <c r="P39" s="90" t="str">
        <f>IF(OR(AND(H39&lt;&gt;"",NOT(ISNUMBER(H39))),AND(I39&lt;&gt;"",NOT(ISNUMBER(I39))),AND(J39&lt;&gt;"",NOT(ISNUMBER(J39))),AND(K39&lt;&gt;"",NOT(ISNUMBER(K39)))),"Not a number",IF(OR(N(H39)&lt;0,N(I39)&lt;0,N(J39)&lt;0,N(K39)&lt;0),"Negative value",IF(AND(W39=0,OR(N(H39)&gt;0,N(J39)&gt;0)),"Start date needed",IF(AND(X39=1,OR(N(I39)&gt;0,N(K39)&gt;0)),"Remaining on finished work",IF(Z39=1,IF(OR(N(H39)&lt;Q39-0.005,N(J39)&lt;S39-0.005),"Actual reduced",IF(OR(N(H39)+N(I39)&gt;E39+0.005,N(J39)+N(K39)&gt;F39+0.005),"Over budget","✓ Updated")),IF(Y39=1,"Actuals not given","Not changed yet"))))))</f>
        <v>Not changed yet</v>
      </c>
      <c r="Q39" t="n">
        <v>0</v>
      </c>
      <c r="R39" t="n">
        <v>16</v>
      </c>
      <c r="S39" t="n">
        <v>0</v>
      </c>
      <c r="T39" t="n">
        <v>880</v>
      </c>
      <c r="U39" t="inlineStr">
        <is>
          <t>7042</t>
        </is>
      </c>
      <c r="V39" t="n">
        <v>0</v>
      </c>
      <c r="W39">
        <f>IF('Sara Moss'!G22&lt;&gt;"",1,0)</f>
        <v>0</v>
      </c>
      <c r="X39">
        <f>IF('Sara Moss'!H22&lt;&gt;"",1,0)</f>
        <v>0</v>
      </c>
      <c r="Y39">
        <f>IF(OR('Sara Moss'!G22&lt;&gt;'Sara Moss'!T22,'Sara Moss'!H22&lt;&gt;'Sara Moss'!U22,N('Sara Moss'!I22)&gt;0),1,0)</f>
        <v>0</v>
      </c>
      <c r="Z39">
        <f>IF(OR(H39&lt;&gt;Q39,I39&lt;&gt;R39,J39&lt;&gt;S39,K39&lt;&gt;T39),1,0)</f>
        <v>0</v>
      </c>
    </row>
    <row r="40">
      <c r="A40" s="80" t="inlineStr">
        <is>
          <t>A1440</t>
        </is>
      </c>
      <c r="B40" s="80" t="inlineStr">
        <is>
          <t>Build package 44</t>
        </is>
      </c>
      <c r="C40" s="80" t="inlineStr">
        <is>
          <t>Bulk Materials</t>
        </is>
      </c>
      <c r="D40" s="80" t="inlineStr">
        <is>
          <t>Material · units</t>
        </is>
      </c>
      <c r="E40" s="98" t="n">
        <v>40</v>
      </c>
      <c r="F40" s="99" t="n">
        <v>3800</v>
      </c>
      <c r="G40" s="99" t="n">
        <v>0</v>
      </c>
      <c r="H40" s="100" t="n">
        <v>0</v>
      </c>
      <c r="I40" s="100" t="n">
        <v>40</v>
      </c>
      <c r="J40" s="101" t="n">
        <v>0</v>
      </c>
      <c r="K40" s="101" t="n">
        <v>3800</v>
      </c>
      <c r="L40" s="102">
        <f>IFERROR(N(H40)+N(I40),"")</f>
        <v>40</v>
      </c>
      <c r="M40" s="103">
        <f>IFERROR(E40-(N(H40)+N(I40)),"")</f>
        <v>0</v>
      </c>
      <c r="N40" s="104">
        <f>IFERROR(N(J40)+N(K40),"")</f>
        <v>3800</v>
      </c>
      <c r="O40" s="105">
        <f>IFERROR(F40-(N(J40)+N(K40)),"")</f>
        <v>0</v>
      </c>
      <c r="P40" s="90" t="str">
        <f>IF(OR(AND(H40&lt;&gt;"",NOT(ISNUMBER(H40))),AND(I40&lt;&gt;"",NOT(ISNUMBER(I40))),AND(J40&lt;&gt;"",NOT(ISNUMBER(J40))),AND(K40&lt;&gt;"",NOT(ISNUMBER(K40)))),"Not a number",IF(OR(N(H40)&lt;0,N(I40)&lt;0,N(J40)&lt;0,N(K40)&lt;0),"Negative value",IF(AND(W40=0,OR(N(H40)&gt;0,N(J40)&gt;0)),"Start date needed",IF(AND(X40=1,OR(N(I40)&gt;0,N(K40)&gt;0)),"Remaining on finished work",IF(Z40=1,IF(OR(N(H40)&lt;Q40-0.005,N(J40)&lt;S40-0.005),"Actual reduced",IF(OR(N(H40)+N(I40)&gt;E40+0.005,N(J40)+N(K40)&gt;F40+0.005),"Over budget","✓ Updated")),IF(Y40=1,"Actuals not given","Not changed yet"))))))</f>
        <v>Not changed yet</v>
      </c>
      <c r="Q40" t="n">
        <v>0</v>
      </c>
      <c r="R40" t="n">
        <v>40</v>
      </c>
      <c r="S40" t="n">
        <v>0</v>
      </c>
      <c r="T40" t="n">
        <v>3800</v>
      </c>
      <c r="U40" t="inlineStr">
        <is>
          <t>7044</t>
        </is>
      </c>
      <c r="V40" t="n">
        <v>0</v>
      </c>
      <c r="W40">
        <f>IF('Sara Moss'!G23&lt;&gt;"",1,0)</f>
        <v>0</v>
      </c>
      <c r="X40">
        <f>IF('Sara Moss'!H23&lt;&gt;"",1,0)</f>
        <v>0</v>
      </c>
      <c r="Y40">
        <f>IF(OR('Sara Moss'!G23&lt;&gt;'Sara Moss'!T23,'Sara Moss'!H23&lt;&gt;'Sara Moss'!U23,N('Sara Moss'!I23)&gt;0),1,0)</f>
        <v>0</v>
      </c>
      <c r="Z40">
        <f>IF(OR(H40&lt;&gt;Q40,I40&lt;&gt;R40,J40&lt;&gt;S40,K40&lt;&gt;T40),1,0)</f>
        <v>0</v>
      </c>
    </row>
    <row r="41">
      <c r="A41" s="80" t="inlineStr">
        <is>
          <t>A1460</t>
        </is>
      </c>
      <c r="B41" s="80" t="inlineStr">
        <is>
          <t>Build package 46</t>
        </is>
      </c>
      <c r="C41" s="80" t="inlineStr">
        <is>
          <t>Site Labour</t>
        </is>
      </c>
      <c r="D41" s="80" t="inlineStr">
        <is>
          <t>Labour · h</t>
        </is>
      </c>
      <c r="E41" s="98" t="n">
        <v>16</v>
      </c>
      <c r="F41" s="99" t="n">
        <v>1200</v>
      </c>
      <c r="G41" s="99" t="n">
        <v>0</v>
      </c>
      <c r="H41" s="100" t="n">
        <v>0</v>
      </c>
      <c r="I41" s="100" t="n">
        <v>16</v>
      </c>
      <c r="J41" s="101" t="n">
        <v>0</v>
      </c>
      <c r="K41" s="101" t="n">
        <v>1200</v>
      </c>
      <c r="L41" s="102">
        <f>IFERROR(N(H41)+N(I41),"")</f>
        <v>16</v>
      </c>
      <c r="M41" s="103">
        <f>IFERROR(E41-(N(H41)+N(I41)),"")</f>
        <v>0</v>
      </c>
      <c r="N41" s="104">
        <f>IFERROR(N(J41)+N(K41),"")</f>
        <v>1200</v>
      </c>
      <c r="O41" s="105">
        <f>IFERROR(F41-(N(J41)+N(K41)),"")</f>
        <v>0</v>
      </c>
      <c r="P41" s="90" t="str">
        <f>IF(OR(AND(H41&lt;&gt;"",NOT(ISNUMBER(H41))),AND(I41&lt;&gt;"",NOT(ISNUMBER(I41))),AND(J41&lt;&gt;"",NOT(ISNUMBER(J41))),AND(K41&lt;&gt;"",NOT(ISNUMBER(K41)))),"Not a number",IF(OR(N(H41)&lt;0,N(I41)&lt;0,N(J41)&lt;0,N(K41)&lt;0),"Negative value",IF(AND(W41=0,OR(N(H41)&gt;0,N(J41)&gt;0)),"Start date needed",IF(AND(X41=1,OR(N(I41)&gt;0,N(K41)&gt;0)),"Remaining on finished work",IF(Z41=1,IF(OR(N(H41)&lt;Q41-0.005,N(J41)&lt;S41-0.005),"Actual reduced",IF(OR(N(H41)+N(I41)&gt;E41+0.005,N(J41)+N(K41)&gt;F41+0.005),"Over budget","✓ Updated")),IF(Y41=1,"Actuals not given","Not changed yet"))))))</f>
        <v>Not changed yet</v>
      </c>
      <c r="Q41" t="n">
        <v>0</v>
      </c>
      <c r="R41" t="n">
        <v>16</v>
      </c>
      <c r="S41" t="n">
        <v>0</v>
      </c>
      <c r="T41" t="n">
        <v>1200</v>
      </c>
      <c r="U41" t="inlineStr">
        <is>
          <t>7046</t>
        </is>
      </c>
      <c r="V41" t="n">
        <v>0</v>
      </c>
      <c r="W41">
        <f>IF('Sara Moss'!G24&lt;&gt;"",1,0)</f>
        <v>0</v>
      </c>
      <c r="X41">
        <f>IF('Sara Moss'!H24&lt;&gt;"",1,0)</f>
        <v>0</v>
      </c>
      <c r="Y41">
        <f>IF(OR('Sara Moss'!G24&lt;&gt;'Sara Moss'!T24,'Sara Moss'!H24&lt;&gt;'Sara Moss'!U24,N('Sara Moss'!I24)&gt;0),1,0)</f>
        <v>0</v>
      </c>
      <c r="Z41">
        <f>IF(OR(H41&lt;&gt;Q41,I41&lt;&gt;R41,J41&lt;&gt;S41,K41&lt;&gt;T41),1,0)</f>
        <v>0</v>
      </c>
    </row>
    <row r="42">
      <c r="A42" s="80" t="inlineStr">
        <is>
          <t>A1480</t>
        </is>
      </c>
      <c r="B42" s="80" t="inlineStr">
        <is>
          <t>Build package 48</t>
        </is>
      </c>
      <c r="C42" s="80" t="inlineStr">
        <is>
          <t>Design Engineer</t>
        </is>
      </c>
      <c r="D42" s="80" t="inlineStr">
        <is>
          <t>Labour · h</t>
        </is>
      </c>
      <c r="E42" s="98" t="n">
        <v>80</v>
      </c>
      <c r="F42" s="99" t="n">
        <v>4400</v>
      </c>
      <c r="G42" s="99" t="n">
        <v>0</v>
      </c>
      <c r="H42" s="100" t="n">
        <v>0</v>
      </c>
      <c r="I42" s="100" t="n">
        <v>80</v>
      </c>
      <c r="J42" s="101" t="n">
        <v>0</v>
      </c>
      <c r="K42" s="101" t="n">
        <v>4400</v>
      </c>
      <c r="L42" s="102">
        <f>IFERROR(N(H42)+N(I42),"")</f>
        <v>80</v>
      </c>
      <c r="M42" s="103">
        <f>IFERROR(E42-(N(H42)+N(I42)),"")</f>
        <v>0</v>
      </c>
      <c r="N42" s="104">
        <f>IFERROR(N(J42)+N(K42),"")</f>
        <v>4400</v>
      </c>
      <c r="O42" s="105">
        <f>IFERROR(F42-(N(J42)+N(K42)),"")</f>
        <v>0</v>
      </c>
      <c r="P42" s="90" t="str">
        <f>IF(OR(AND(H42&lt;&gt;"",NOT(ISNUMBER(H42))),AND(I42&lt;&gt;"",NOT(ISNUMBER(I42))),AND(J42&lt;&gt;"",NOT(ISNUMBER(J42))),AND(K42&lt;&gt;"",NOT(ISNUMBER(K42)))),"Not a number",IF(OR(N(H42)&lt;0,N(I42)&lt;0,N(J42)&lt;0,N(K42)&lt;0),"Negative value",IF(AND(W42=0,OR(N(H42)&gt;0,N(J42)&gt;0)),"Start date needed",IF(AND(X42=1,OR(N(I42)&gt;0,N(K42)&gt;0)),"Remaining on finished work",IF(Z42=1,IF(OR(N(H42)&lt;Q42-0.005,N(J42)&lt;S42-0.005),"Actual reduced",IF(OR(N(H42)+N(I42)&gt;E42+0.005,N(J42)+N(K42)&gt;F42+0.005),"Over budget","✓ Updated")),IF(Y42=1,"Actuals not given","Not changed yet"))))))</f>
        <v>Not changed yet</v>
      </c>
      <c r="Q42" t="n">
        <v>0</v>
      </c>
      <c r="R42" t="n">
        <v>80</v>
      </c>
      <c r="S42" t="n">
        <v>0</v>
      </c>
      <c r="T42" t="n">
        <v>4400</v>
      </c>
      <c r="U42" t="inlineStr">
        <is>
          <t>7048</t>
        </is>
      </c>
      <c r="V42" t="n">
        <v>0</v>
      </c>
      <c r="W42">
        <f>IF('Sara Moss'!G25&lt;&gt;"",1,0)</f>
        <v>0</v>
      </c>
      <c r="X42">
        <f>IF('Sara Moss'!H25&lt;&gt;"",1,0)</f>
        <v>0</v>
      </c>
      <c r="Y42">
        <f>IF(OR('Sara Moss'!G25&lt;&gt;'Sara Moss'!T25,'Sara Moss'!H25&lt;&gt;'Sara Moss'!U25,N('Sara Moss'!I25)&gt;0),1,0)</f>
        <v>0</v>
      </c>
      <c r="Z42">
        <f>IF(OR(H42&lt;&gt;Q42,I42&lt;&gt;R42,J42&lt;&gt;S42,K42&lt;&gt;T42),1,0)</f>
        <v>0</v>
      </c>
    </row>
    <row r="43">
      <c r="A43" s="80" t="inlineStr">
        <is>
          <t>A1500</t>
        </is>
      </c>
      <c r="B43" s="80" t="inlineStr">
        <is>
          <t>Build package 50</t>
        </is>
      </c>
      <c r="C43" s="80" t="inlineStr">
        <is>
          <t>Bulk Materials</t>
        </is>
      </c>
      <c r="D43" s="80" t="inlineStr">
        <is>
          <t>Material · units</t>
        </is>
      </c>
      <c r="E43" s="98" t="n">
        <v>24</v>
      </c>
      <c r="F43" s="99" t="n">
        <v>2280</v>
      </c>
      <c r="G43" s="99" t="n">
        <v>0</v>
      </c>
      <c r="H43" s="100" t="n">
        <v>0</v>
      </c>
      <c r="I43" s="100" t="n">
        <v>24</v>
      </c>
      <c r="J43" s="101" t="n">
        <v>0</v>
      </c>
      <c r="K43" s="101" t="n">
        <v>2280</v>
      </c>
      <c r="L43" s="102">
        <f>IFERROR(N(H43)+N(I43),"")</f>
        <v>24</v>
      </c>
      <c r="M43" s="103">
        <f>IFERROR(E43-(N(H43)+N(I43)),"")</f>
        <v>0</v>
      </c>
      <c r="N43" s="104">
        <f>IFERROR(N(J43)+N(K43),"")</f>
        <v>2280</v>
      </c>
      <c r="O43" s="105">
        <f>IFERROR(F43-(N(J43)+N(K43)),"")</f>
        <v>0</v>
      </c>
      <c r="P43" s="90" t="str">
        <f>IF(OR(AND(H43&lt;&gt;"",NOT(ISNUMBER(H43))),AND(I43&lt;&gt;"",NOT(ISNUMBER(I43))),AND(J43&lt;&gt;"",NOT(ISNUMBER(J43))),AND(K43&lt;&gt;"",NOT(ISNUMBER(K43)))),"Not a number",IF(OR(N(H43)&lt;0,N(I43)&lt;0,N(J43)&lt;0,N(K43)&lt;0),"Negative value",IF(AND(W43=0,OR(N(H43)&gt;0,N(J43)&gt;0)),"Start date needed",IF(AND(X43=1,OR(N(I43)&gt;0,N(K43)&gt;0)),"Remaining on finished work",IF(Z43=1,IF(OR(N(H43)&lt;Q43-0.005,N(J43)&lt;S43-0.005),"Actual reduced",IF(OR(N(H43)+N(I43)&gt;E43+0.005,N(J43)+N(K43)&gt;F43+0.005),"Over budget","✓ Updated")),IF(Y43=1,"Actuals not given","Not changed yet"))))))</f>
        <v>Not changed yet</v>
      </c>
      <c r="Q43" t="n">
        <v>0</v>
      </c>
      <c r="R43" t="n">
        <v>24</v>
      </c>
      <c r="S43" t="n">
        <v>0</v>
      </c>
      <c r="T43" t="n">
        <v>2280</v>
      </c>
      <c r="U43" t="inlineStr">
        <is>
          <t>7050</t>
        </is>
      </c>
      <c r="V43" t="n">
        <v>0</v>
      </c>
      <c r="W43">
        <f>IF('Sara Moss'!G26&lt;&gt;"",1,0)</f>
        <v>0</v>
      </c>
      <c r="X43">
        <f>IF('Sara Moss'!H26&lt;&gt;"",1,0)</f>
        <v>0</v>
      </c>
      <c r="Y43">
        <f>IF(OR('Sara Moss'!G26&lt;&gt;'Sara Moss'!T26,'Sara Moss'!H26&lt;&gt;'Sara Moss'!U26,N('Sara Moss'!I26)&gt;0),1,0)</f>
        <v>0</v>
      </c>
      <c r="Z43">
        <f>IF(OR(H43&lt;&gt;Q43,I43&lt;&gt;R43,J43&lt;&gt;S43,K43&lt;&gt;T43),1,0)</f>
        <v>0</v>
      </c>
    </row>
    <row r="44">
      <c r="A44" s="80" t="inlineStr">
        <is>
          <t>A1540</t>
        </is>
      </c>
      <c r="B44" s="80" t="inlineStr">
        <is>
          <t>Build package 54</t>
        </is>
      </c>
      <c r="C44" s="80" t="inlineStr">
        <is>
          <t>Design Engineer</t>
        </is>
      </c>
      <c r="D44" s="80" t="inlineStr">
        <is>
          <t>Labour · h</t>
        </is>
      </c>
      <c r="E44" s="98" t="n">
        <v>16</v>
      </c>
      <c r="F44" s="99" t="n">
        <v>880</v>
      </c>
      <c r="G44" s="99" t="n">
        <v>0</v>
      </c>
      <c r="H44" s="100" t="n">
        <v>0</v>
      </c>
      <c r="I44" s="100" t="n">
        <v>16</v>
      </c>
      <c r="J44" s="101" t="n">
        <v>0</v>
      </c>
      <c r="K44" s="101" t="n">
        <v>880</v>
      </c>
      <c r="L44" s="102">
        <f>IFERROR(N(H44)+N(I44),"")</f>
        <v>16</v>
      </c>
      <c r="M44" s="103">
        <f>IFERROR(E44-(N(H44)+N(I44)),"")</f>
        <v>0</v>
      </c>
      <c r="N44" s="104">
        <f>IFERROR(N(J44)+N(K44),"")</f>
        <v>880</v>
      </c>
      <c r="O44" s="105">
        <f>IFERROR(F44-(N(J44)+N(K44)),"")</f>
        <v>0</v>
      </c>
      <c r="P44" s="90" t="str">
        <f>IF(OR(AND(H44&lt;&gt;"",NOT(ISNUMBER(H44))),AND(I44&lt;&gt;"",NOT(ISNUMBER(I44))),AND(J44&lt;&gt;"",NOT(ISNUMBER(J44))),AND(K44&lt;&gt;"",NOT(ISNUMBER(K44)))),"Not a number",IF(OR(N(H44)&lt;0,N(I44)&lt;0,N(J44)&lt;0,N(K44)&lt;0),"Negative value",IF(AND(W44=0,OR(N(H44)&gt;0,N(J44)&gt;0)),"Start date needed",IF(AND(X44=1,OR(N(I44)&gt;0,N(K44)&gt;0)),"Remaining on finished work",IF(Z44=1,IF(OR(N(H44)&lt;Q44-0.005,N(J44)&lt;S44-0.005),"Actual reduced",IF(OR(N(H44)+N(I44)&gt;E44+0.005,N(J44)+N(K44)&gt;F44+0.005),"Over budget","✓ Updated")),IF(Y44=1,"Actuals not given","Not changed yet"))))))</f>
        <v>Not changed yet</v>
      </c>
      <c r="Q44" t="n">
        <v>0</v>
      </c>
      <c r="R44" t="n">
        <v>16</v>
      </c>
      <c r="S44" t="n">
        <v>0</v>
      </c>
      <c r="T44" t="n">
        <v>880</v>
      </c>
      <c r="U44" t="inlineStr">
        <is>
          <t>7054</t>
        </is>
      </c>
      <c r="V44" t="n">
        <v>0</v>
      </c>
      <c r="W44">
        <f>IF('Sara Moss'!G28&lt;&gt;"",1,0)</f>
        <v>0</v>
      </c>
      <c r="X44">
        <f>IF('Sara Moss'!H28&lt;&gt;"",1,0)</f>
        <v>0</v>
      </c>
      <c r="Y44">
        <f>IF(OR('Sara Moss'!G28&lt;&gt;'Sara Moss'!T28,'Sara Moss'!H28&lt;&gt;'Sara Moss'!U28,N('Sara Moss'!I28)&gt;0),1,0)</f>
        <v>0</v>
      </c>
      <c r="Z44">
        <f>IF(OR(H44&lt;&gt;Q44,I44&lt;&gt;R44,J44&lt;&gt;S44,K44&lt;&gt;T44),1,0)</f>
        <v>0</v>
      </c>
    </row>
    <row r="45">
      <c r="A45" s="80" t="inlineStr">
        <is>
          <t>A1560</t>
        </is>
      </c>
      <c r="B45" s="80" t="inlineStr">
        <is>
          <t>Build package 56</t>
        </is>
      </c>
      <c r="C45" s="80" t="inlineStr">
        <is>
          <t>Bulk Materials</t>
        </is>
      </c>
      <c r="D45" s="80" t="inlineStr">
        <is>
          <t>Material · units</t>
        </is>
      </c>
      <c r="E45" s="98" t="n">
        <v>80</v>
      </c>
      <c r="F45" s="99" t="n">
        <v>7600</v>
      </c>
      <c r="G45" s="99" t="n">
        <v>0</v>
      </c>
      <c r="H45" s="100" t="n">
        <v>0</v>
      </c>
      <c r="I45" s="100" t="n">
        <v>80</v>
      </c>
      <c r="J45" s="101" t="n">
        <v>0</v>
      </c>
      <c r="K45" s="101" t="n">
        <v>7600</v>
      </c>
      <c r="L45" s="102">
        <f>IFERROR(N(H45)+N(I45),"")</f>
        <v>80</v>
      </c>
      <c r="M45" s="103">
        <f>IFERROR(E45-(N(H45)+N(I45)),"")</f>
        <v>0</v>
      </c>
      <c r="N45" s="104">
        <f>IFERROR(N(J45)+N(K45),"")</f>
        <v>7600</v>
      </c>
      <c r="O45" s="105">
        <f>IFERROR(F45-(N(J45)+N(K45)),"")</f>
        <v>0</v>
      </c>
      <c r="P45" s="90" t="str">
        <f>IF(OR(AND(H45&lt;&gt;"",NOT(ISNUMBER(H45))),AND(I45&lt;&gt;"",NOT(ISNUMBER(I45))),AND(J45&lt;&gt;"",NOT(ISNUMBER(J45))),AND(K45&lt;&gt;"",NOT(ISNUMBER(K45)))),"Not a number",IF(OR(N(H45)&lt;0,N(I45)&lt;0,N(J45)&lt;0,N(K45)&lt;0),"Negative value",IF(AND(W45=0,OR(N(H45)&gt;0,N(J45)&gt;0)),"Start date needed",IF(AND(X45=1,OR(N(I45)&gt;0,N(K45)&gt;0)),"Remaining on finished work",IF(Z45=1,IF(OR(N(H45)&lt;Q45-0.005,N(J45)&lt;S45-0.005),"Actual reduced",IF(OR(N(H45)+N(I45)&gt;E45+0.005,N(J45)+N(K45)&gt;F45+0.005),"Over budget","✓ Updated")),IF(Y45=1,"Actuals not given","Not changed yet"))))))</f>
        <v>Not changed yet</v>
      </c>
      <c r="Q45" t="n">
        <v>0</v>
      </c>
      <c r="R45" t="n">
        <v>80</v>
      </c>
      <c r="S45" t="n">
        <v>0</v>
      </c>
      <c r="T45" t="n">
        <v>7600</v>
      </c>
      <c r="U45" t="inlineStr">
        <is>
          <t>7056</t>
        </is>
      </c>
      <c r="V45" t="n">
        <v>0</v>
      </c>
      <c r="W45">
        <f>IF('Sara Moss'!G29&lt;&gt;"",1,0)</f>
        <v>0</v>
      </c>
      <c r="X45">
        <f>IF('Sara Moss'!H29&lt;&gt;"",1,0)</f>
        <v>0</v>
      </c>
      <c r="Y45">
        <f>IF(OR('Sara Moss'!G29&lt;&gt;'Sara Moss'!T29,'Sara Moss'!H29&lt;&gt;'Sara Moss'!U29,N('Sara Moss'!I29)&gt;0),1,0)</f>
        <v>0</v>
      </c>
      <c r="Z45">
        <f>IF(OR(H45&lt;&gt;Q45,I45&lt;&gt;R45,J45&lt;&gt;S45,K45&lt;&gt;T45),1,0)</f>
        <v>0</v>
      </c>
    </row>
    <row r="46">
      <c r="A46" s="80" t="inlineStr">
        <is>
          <t>A1580</t>
        </is>
      </c>
      <c r="B46" s="80" t="inlineStr">
        <is>
          <t>Build package 58</t>
        </is>
      </c>
      <c r="C46" s="80" t="inlineStr">
        <is>
          <t>Site Labour</t>
        </is>
      </c>
      <c r="D46" s="80" t="inlineStr">
        <is>
          <t>Labour · h</t>
        </is>
      </c>
      <c r="E46" s="98" t="n">
        <v>400</v>
      </c>
      <c r="F46" s="99" t="n">
        <v>30000</v>
      </c>
      <c r="G46" s="99" t="n">
        <v>0</v>
      </c>
      <c r="H46" s="100" t="n">
        <v>0</v>
      </c>
      <c r="I46" s="100" t="n">
        <v>400</v>
      </c>
      <c r="J46" s="101" t="n">
        <v>0</v>
      </c>
      <c r="K46" s="101" t="n">
        <v>30000</v>
      </c>
      <c r="L46" s="102">
        <f>IFERROR(N(H46)+N(I46),"")</f>
        <v>400</v>
      </c>
      <c r="M46" s="103">
        <f>IFERROR(E46-(N(H46)+N(I46)),"")</f>
        <v>0</v>
      </c>
      <c r="N46" s="104">
        <f>IFERROR(N(J46)+N(K46),"")</f>
        <v>30000</v>
      </c>
      <c r="O46" s="105">
        <f>IFERROR(F46-(N(J46)+N(K46)),"")</f>
        <v>0</v>
      </c>
      <c r="P46" s="90" t="str">
        <f>IF(OR(AND(H46&lt;&gt;"",NOT(ISNUMBER(H46))),AND(I46&lt;&gt;"",NOT(ISNUMBER(I46))),AND(J46&lt;&gt;"",NOT(ISNUMBER(J46))),AND(K46&lt;&gt;"",NOT(ISNUMBER(K46)))),"Not a number",IF(OR(N(H46)&lt;0,N(I46)&lt;0,N(J46)&lt;0,N(K46)&lt;0),"Negative value",IF(AND(W46=0,OR(N(H46)&gt;0,N(J46)&gt;0)),"Start date needed",IF(AND(X46=1,OR(N(I46)&gt;0,N(K46)&gt;0)),"Remaining on finished work",IF(Z46=1,IF(OR(N(H46)&lt;Q46-0.005,N(J46)&lt;S46-0.005),"Actual reduced",IF(OR(N(H46)+N(I46)&gt;E46+0.005,N(J46)+N(K46)&gt;F46+0.005),"Over budget","✓ Updated")),IF(Y46=1,"Actuals not given","Not changed yet"))))))</f>
        <v>Not changed yet</v>
      </c>
      <c r="Q46" t="n">
        <v>0</v>
      </c>
      <c r="R46" t="n">
        <v>400</v>
      </c>
      <c r="S46" t="n">
        <v>0</v>
      </c>
      <c r="T46" t="n">
        <v>30000</v>
      </c>
      <c r="U46" t="inlineStr">
        <is>
          <t>7058</t>
        </is>
      </c>
      <c r="V46" t="n">
        <v>0</v>
      </c>
      <c r="W46">
        <f>IF('Sara Moss'!G30&lt;&gt;"",1,0)</f>
        <v>0</v>
      </c>
      <c r="X46">
        <f>IF('Sara Moss'!H30&lt;&gt;"",1,0)</f>
        <v>0</v>
      </c>
      <c r="Y46">
        <f>IF(OR('Sara Moss'!G30&lt;&gt;'Sara Moss'!T30,'Sara Moss'!H30&lt;&gt;'Sara Moss'!U30,N('Sara Moss'!I30)&gt;0),1,0)</f>
        <v>0</v>
      </c>
      <c r="Z46">
        <f>IF(OR(H46&lt;&gt;Q46,I46&lt;&gt;R46,J46&lt;&gt;S46,K46&lt;&gt;T46),1,0)</f>
        <v>0</v>
      </c>
    </row>
    <row r="47" ht="18" customHeight="1">
      <c r="A47" s="78" t="inlineStr">
        <is>
          <t>Tom Reid - Package Manager</t>
        </is>
      </c>
      <c r="B47" s="79" t="n"/>
      <c r="C47" s="79" t="n"/>
      <c r="D47" s="79" t="n"/>
      <c r="E47" s="79" t="n"/>
      <c r="F47" s="79" t="n"/>
      <c r="G47" s="79" t="n"/>
      <c r="H47" s="79" t="n"/>
      <c r="I47" s="79" t="n"/>
      <c r="J47" s="79" t="n"/>
      <c r="K47" s="79" t="n"/>
      <c r="L47" s="79" t="n"/>
      <c r="M47" s="79" t="n"/>
      <c r="N47" s="79" t="n"/>
      <c r="O47" s="79" t="n"/>
      <c r="P47" s="79" t="n"/>
    </row>
    <row r="48">
      <c r="A48" s="80" t="inlineStr">
        <is>
          <t>A1210</t>
        </is>
      </c>
      <c r="B48" s="80" t="inlineStr">
        <is>
          <t>Build package 21</t>
        </is>
      </c>
      <c r="C48" s="80" t="inlineStr">
        <is>
          <t>Design Engineer</t>
        </is>
      </c>
      <c r="D48" s="80" t="inlineStr">
        <is>
          <t>Labour · h</t>
        </is>
      </c>
      <c r="E48" s="98" t="n">
        <v>80</v>
      </c>
      <c r="F48" s="99" t="n">
        <v>4400</v>
      </c>
      <c r="G48" s="99" t="n">
        <v>0</v>
      </c>
      <c r="H48" s="100" t="n">
        <v>80</v>
      </c>
      <c r="I48" s="100" t="n">
        <v>0</v>
      </c>
      <c r="J48" s="101" t="n">
        <v>4400</v>
      </c>
      <c r="K48" s="101" t="n">
        <v>0</v>
      </c>
      <c r="L48" s="102">
        <f>IFERROR(N(H48)+N(I48),"")</f>
        <v>80</v>
      </c>
      <c r="M48" s="103">
        <f>IFERROR(E48-(N(H48)+N(I48)),"")</f>
        <v>0</v>
      </c>
      <c r="N48" s="104">
        <f>IFERROR(N(J48)+N(K48),"")</f>
        <v>4400</v>
      </c>
      <c r="O48" s="105">
        <f>IFERROR(F48-(N(J48)+N(K48)),"")</f>
        <v>0</v>
      </c>
      <c r="P48" s="90" t="str">
        <f>IF(OR(AND(H48&lt;&gt;"",NOT(ISNUMBER(H48))),AND(I48&lt;&gt;"",NOT(ISNUMBER(I48))),AND(J48&lt;&gt;"",NOT(ISNUMBER(J48))),AND(K48&lt;&gt;"",NOT(ISNUMBER(K48)))),"Not a number",IF(OR(N(H48)&lt;0,N(I48)&lt;0,N(J48)&lt;0,N(K48)&lt;0),"Negative value",IF(AND(W48=0,OR(N(H48)&gt;0,N(J48)&gt;0)),"Start date needed",IF(AND(X48=1,OR(N(I48)&gt;0,N(K48)&gt;0)),"Remaining on finished work",IF(Z48=1,IF(OR(N(H48)&lt;Q48-0.005,N(J48)&lt;S48-0.005),"Actual reduced",IF(OR(N(H48)+N(I48)&gt;E48+0.005,N(J48)+N(K48)&gt;F48+0.005),"Over budget","✓ Updated")),IF(Y48=1,"Actuals not given","Not changed yet"))))))</f>
        <v>Not changed yet</v>
      </c>
      <c r="Q48" t="n">
        <v>80</v>
      </c>
      <c r="R48" t="n">
        <v>0</v>
      </c>
      <c r="S48" t="n">
        <v>4400</v>
      </c>
      <c r="T48" t="n">
        <v>0</v>
      </c>
      <c r="U48" t="inlineStr">
        <is>
          <t>7021</t>
        </is>
      </c>
      <c r="V48" t="n">
        <v>0</v>
      </c>
      <c r="W48">
        <f>IF('Tom Reid'!G11&lt;&gt;"",1,0)</f>
        <v>1</v>
      </c>
      <c r="X48">
        <f>IF('Tom Reid'!H11&lt;&gt;"",1,0)</f>
        <v>1</v>
      </c>
      <c r="Y48">
        <f>IF(OR('Tom Reid'!G11&lt;&gt;'Tom Reid'!T11,'Tom Reid'!H11&lt;&gt;'Tom Reid'!U11,N('Tom Reid'!I11)&gt;0),1,0)</f>
        <v>0</v>
      </c>
      <c r="Z48">
        <f>IF(OR(H48&lt;&gt;Q48,I48&lt;&gt;R48,J48&lt;&gt;S48,K48&lt;&gt;T48),1,0)</f>
        <v>0</v>
      </c>
    </row>
    <row r="49">
      <c r="A49" s="80" t="inlineStr">
        <is>
          <t>A1230</t>
        </is>
      </c>
      <c r="B49" s="80" t="inlineStr">
        <is>
          <t>Build package 23</t>
        </is>
      </c>
      <c r="C49" s="80" t="inlineStr">
        <is>
          <t>Bulk Materials</t>
        </is>
      </c>
      <c r="D49" s="80" t="inlineStr">
        <is>
          <t>Material · units</t>
        </is>
      </c>
      <c r="E49" s="98" t="n">
        <v>64</v>
      </c>
      <c r="F49" s="99" t="n">
        <v>6080</v>
      </c>
      <c r="G49" s="99" t="n">
        <v>0</v>
      </c>
      <c r="H49" s="100" t="n">
        <v>64</v>
      </c>
      <c r="I49" s="100" t="n">
        <v>0</v>
      </c>
      <c r="J49" s="101" t="n">
        <v>6080</v>
      </c>
      <c r="K49" s="101" t="n">
        <v>0</v>
      </c>
      <c r="L49" s="102">
        <f>IFERROR(N(H49)+N(I49),"")</f>
        <v>64</v>
      </c>
      <c r="M49" s="103">
        <f>IFERROR(E49-(N(H49)+N(I49)),"")</f>
        <v>0</v>
      </c>
      <c r="N49" s="104">
        <f>IFERROR(N(J49)+N(K49),"")</f>
        <v>6080</v>
      </c>
      <c r="O49" s="105">
        <f>IFERROR(F49-(N(J49)+N(K49)),"")</f>
        <v>0</v>
      </c>
      <c r="P49" s="90" t="str">
        <f>IF(OR(AND(H49&lt;&gt;"",NOT(ISNUMBER(H49))),AND(I49&lt;&gt;"",NOT(ISNUMBER(I49))),AND(J49&lt;&gt;"",NOT(ISNUMBER(J49))),AND(K49&lt;&gt;"",NOT(ISNUMBER(K49)))),"Not a number",IF(OR(N(H49)&lt;0,N(I49)&lt;0,N(J49)&lt;0,N(K49)&lt;0),"Negative value",IF(AND(W49=0,OR(N(H49)&gt;0,N(J49)&gt;0)),"Start date needed",IF(AND(X49=1,OR(N(I49)&gt;0,N(K49)&gt;0)),"Remaining on finished work",IF(Z49=1,IF(OR(N(H49)&lt;Q49-0.005,N(J49)&lt;S49-0.005),"Actual reduced",IF(OR(N(H49)+N(I49)&gt;E49+0.005,N(J49)+N(K49)&gt;F49+0.005),"Over budget","✓ Updated")),IF(Y49=1,"Actuals not given","Not changed yet"))))))</f>
        <v>Not changed yet</v>
      </c>
      <c r="Q49" t="n">
        <v>64</v>
      </c>
      <c r="R49" t="n">
        <v>0</v>
      </c>
      <c r="S49" t="n">
        <v>6080</v>
      </c>
      <c r="T49" t="n">
        <v>0</v>
      </c>
      <c r="U49" t="inlineStr">
        <is>
          <t>7023</t>
        </is>
      </c>
      <c r="V49" t="n">
        <v>0</v>
      </c>
      <c r="W49">
        <f>IF('Tom Reid'!G12&lt;&gt;"",1,0)</f>
        <v>1</v>
      </c>
      <c r="X49">
        <f>IF('Tom Reid'!H12&lt;&gt;"",1,0)</f>
        <v>1</v>
      </c>
      <c r="Y49">
        <f>IF(OR('Tom Reid'!G12&lt;&gt;'Tom Reid'!T12,'Tom Reid'!H12&lt;&gt;'Tom Reid'!U12,N('Tom Reid'!I12)&gt;0),1,0)</f>
        <v>0</v>
      </c>
      <c r="Z49">
        <f>IF(OR(H49&lt;&gt;Q49,I49&lt;&gt;R49,J49&lt;&gt;S49,K49&lt;&gt;T49),1,0)</f>
        <v>0</v>
      </c>
    </row>
    <row r="50">
      <c r="A50" s="80" t="inlineStr">
        <is>
          <t>A1250</t>
        </is>
      </c>
      <c r="B50" s="80" t="inlineStr">
        <is>
          <t>Build package 25</t>
        </is>
      </c>
      <c r="C50" s="80" t="inlineStr">
        <is>
          <t>Site Labour</t>
        </is>
      </c>
      <c r="D50" s="80" t="inlineStr">
        <is>
          <t>Labour · h</t>
        </is>
      </c>
      <c r="E50" s="98" t="n">
        <v>64</v>
      </c>
      <c r="F50" s="99" t="n">
        <v>4800</v>
      </c>
      <c r="G50" s="99" t="n">
        <v>0</v>
      </c>
      <c r="H50" s="100" t="n">
        <v>64</v>
      </c>
      <c r="I50" s="100" t="n">
        <v>0</v>
      </c>
      <c r="J50" s="101" t="n">
        <v>4800</v>
      </c>
      <c r="K50" s="101" t="n">
        <v>0</v>
      </c>
      <c r="L50" s="102">
        <f>IFERROR(N(H50)+N(I50),"")</f>
        <v>64</v>
      </c>
      <c r="M50" s="103">
        <f>IFERROR(E50-(N(H50)+N(I50)),"")</f>
        <v>0</v>
      </c>
      <c r="N50" s="104">
        <f>IFERROR(N(J50)+N(K50),"")</f>
        <v>4800</v>
      </c>
      <c r="O50" s="105">
        <f>IFERROR(F50-(N(J50)+N(K50)),"")</f>
        <v>0</v>
      </c>
      <c r="P50" s="90" t="str">
        <f>IF(OR(AND(H50&lt;&gt;"",NOT(ISNUMBER(H50))),AND(I50&lt;&gt;"",NOT(ISNUMBER(I50))),AND(J50&lt;&gt;"",NOT(ISNUMBER(J50))),AND(K50&lt;&gt;"",NOT(ISNUMBER(K50)))),"Not a number",IF(OR(N(H50)&lt;0,N(I50)&lt;0,N(J50)&lt;0,N(K50)&lt;0),"Negative value",IF(AND(W50=0,OR(N(H50)&gt;0,N(J50)&gt;0)),"Start date needed",IF(AND(X50=1,OR(N(I50)&gt;0,N(K50)&gt;0)),"Remaining on finished work",IF(Z50=1,IF(OR(N(H50)&lt;Q50-0.005,N(J50)&lt;S50-0.005),"Actual reduced",IF(OR(N(H50)+N(I50)&gt;E50+0.005,N(J50)+N(K50)&gt;F50+0.005),"Over budget","✓ Updated")),IF(Y50=1,"Actuals not given","Not changed yet"))))))</f>
        <v>Not changed yet</v>
      </c>
      <c r="Q50" t="n">
        <v>64</v>
      </c>
      <c r="R50" t="n">
        <v>0</v>
      </c>
      <c r="S50" t="n">
        <v>4800</v>
      </c>
      <c r="T50" t="n">
        <v>0</v>
      </c>
      <c r="U50" t="inlineStr">
        <is>
          <t>7025</t>
        </is>
      </c>
      <c r="V50" t="n">
        <v>0</v>
      </c>
      <c r="W50">
        <f>IF('Tom Reid'!G13&lt;&gt;"",1,0)</f>
        <v>1</v>
      </c>
      <c r="X50">
        <f>IF('Tom Reid'!H13&lt;&gt;"",1,0)</f>
        <v>1</v>
      </c>
      <c r="Y50">
        <f>IF(OR('Tom Reid'!G13&lt;&gt;'Tom Reid'!T13,'Tom Reid'!H13&lt;&gt;'Tom Reid'!U13,N('Tom Reid'!I13)&gt;0),1,0)</f>
        <v>0</v>
      </c>
      <c r="Z50">
        <f>IF(OR(H50&lt;&gt;Q50,I50&lt;&gt;R50,J50&lt;&gt;S50,K50&lt;&gt;T50),1,0)</f>
        <v>0</v>
      </c>
    </row>
    <row r="51">
      <c r="A51" s="80" t="inlineStr">
        <is>
          <t>A1270</t>
        </is>
      </c>
      <c r="B51" s="80" t="inlineStr">
        <is>
          <t>Build package 27</t>
        </is>
      </c>
      <c r="C51" s="80" t="inlineStr">
        <is>
          <t>Design Engineer</t>
        </is>
      </c>
      <c r="D51" s="80" t="inlineStr">
        <is>
          <t>Labour · h</t>
        </is>
      </c>
      <c r="E51" s="98" t="n">
        <v>24</v>
      </c>
      <c r="F51" s="99" t="n">
        <v>1320</v>
      </c>
      <c r="G51" s="99" t="n">
        <v>0</v>
      </c>
      <c r="H51" s="100" t="n">
        <v>24</v>
      </c>
      <c r="I51" s="100" t="n">
        <v>0</v>
      </c>
      <c r="J51" s="101" t="n">
        <v>1320</v>
      </c>
      <c r="K51" s="101" t="n">
        <v>0</v>
      </c>
      <c r="L51" s="102">
        <f>IFERROR(N(H51)+N(I51),"")</f>
        <v>24</v>
      </c>
      <c r="M51" s="103">
        <f>IFERROR(E51-(N(H51)+N(I51)),"")</f>
        <v>0</v>
      </c>
      <c r="N51" s="104">
        <f>IFERROR(N(J51)+N(K51),"")</f>
        <v>1320</v>
      </c>
      <c r="O51" s="105">
        <f>IFERROR(F51-(N(J51)+N(K51)),"")</f>
        <v>0</v>
      </c>
      <c r="P51" s="90" t="str">
        <f>IF(OR(AND(H51&lt;&gt;"",NOT(ISNUMBER(H51))),AND(I51&lt;&gt;"",NOT(ISNUMBER(I51))),AND(J51&lt;&gt;"",NOT(ISNUMBER(J51))),AND(K51&lt;&gt;"",NOT(ISNUMBER(K51)))),"Not a number",IF(OR(N(H51)&lt;0,N(I51)&lt;0,N(J51)&lt;0,N(K51)&lt;0),"Negative value",IF(AND(W51=0,OR(N(H51)&gt;0,N(J51)&gt;0)),"Start date needed",IF(AND(X51=1,OR(N(I51)&gt;0,N(K51)&gt;0)),"Remaining on finished work",IF(Z51=1,IF(OR(N(H51)&lt;Q51-0.005,N(J51)&lt;S51-0.005),"Actual reduced",IF(OR(N(H51)+N(I51)&gt;E51+0.005,N(J51)+N(K51)&gt;F51+0.005),"Over budget","✓ Updated")),IF(Y51=1,"Actuals not given","Not changed yet"))))))</f>
        <v>Not changed yet</v>
      </c>
      <c r="Q51" t="n">
        <v>24</v>
      </c>
      <c r="R51" t="n">
        <v>0</v>
      </c>
      <c r="S51" t="n">
        <v>1320</v>
      </c>
      <c r="T51" t="n">
        <v>0</v>
      </c>
      <c r="U51" t="inlineStr">
        <is>
          <t>7027</t>
        </is>
      </c>
      <c r="V51" t="n">
        <v>0</v>
      </c>
      <c r="W51">
        <f>IF('Tom Reid'!G14&lt;&gt;"",1,0)</f>
        <v>1</v>
      </c>
      <c r="X51">
        <f>IF('Tom Reid'!H14&lt;&gt;"",1,0)</f>
        <v>1</v>
      </c>
      <c r="Y51">
        <f>IF(OR('Tom Reid'!G14&lt;&gt;'Tom Reid'!T14,'Tom Reid'!H14&lt;&gt;'Tom Reid'!U14,N('Tom Reid'!I14)&gt;0),1,0)</f>
        <v>0</v>
      </c>
      <c r="Z51">
        <f>IF(OR(H51&lt;&gt;Q51,I51&lt;&gt;R51,J51&lt;&gt;S51,K51&lt;&gt;T51),1,0)</f>
        <v>0</v>
      </c>
    </row>
    <row r="52">
      <c r="A52" s="80" t="inlineStr">
        <is>
          <t>A1290</t>
        </is>
      </c>
      <c r="B52" s="80" t="inlineStr">
        <is>
          <t>Build package 29</t>
        </is>
      </c>
      <c r="C52" s="80" t="inlineStr">
        <is>
          <t>Bulk Materials</t>
        </is>
      </c>
      <c r="D52" s="80" t="inlineStr">
        <is>
          <t>Material · units</t>
        </is>
      </c>
      <c r="E52" s="98" t="n">
        <v>16</v>
      </c>
      <c r="F52" s="99" t="n">
        <v>1520</v>
      </c>
      <c r="G52" s="99" t="n">
        <v>0</v>
      </c>
      <c r="H52" s="100" t="n">
        <v>16</v>
      </c>
      <c r="I52" s="100" t="n">
        <v>0</v>
      </c>
      <c r="J52" s="101" t="n">
        <v>1520</v>
      </c>
      <c r="K52" s="101" t="n">
        <v>0</v>
      </c>
      <c r="L52" s="102">
        <f>IFERROR(N(H52)+N(I52),"")</f>
        <v>16</v>
      </c>
      <c r="M52" s="103">
        <f>IFERROR(E52-(N(H52)+N(I52)),"")</f>
        <v>0</v>
      </c>
      <c r="N52" s="104">
        <f>IFERROR(N(J52)+N(K52),"")</f>
        <v>1520</v>
      </c>
      <c r="O52" s="105">
        <f>IFERROR(F52-(N(J52)+N(K52)),"")</f>
        <v>0</v>
      </c>
      <c r="P52" s="90" t="str">
        <f>IF(OR(AND(H52&lt;&gt;"",NOT(ISNUMBER(H52))),AND(I52&lt;&gt;"",NOT(ISNUMBER(I52))),AND(J52&lt;&gt;"",NOT(ISNUMBER(J52))),AND(K52&lt;&gt;"",NOT(ISNUMBER(K52)))),"Not a number",IF(OR(N(H52)&lt;0,N(I52)&lt;0,N(J52)&lt;0,N(K52)&lt;0),"Negative value",IF(AND(W52=0,OR(N(H52)&gt;0,N(J52)&gt;0)),"Start date needed",IF(AND(X52=1,OR(N(I52)&gt;0,N(K52)&gt;0)),"Remaining on finished work",IF(Z52=1,IF(OR(N(H52)&lt;Q52-0.005,N(J52)&lt;S52-0.005),"Actual reduced",IF(OR(N(H52)+N(I52)&gt;E52+0.005,N(J52)+N(K52)&gt;F52+0.005),"Over budget","✓ Updated")),IF(Y52=1,"Actuals not given","Not changed yet"))))))</f>
        <v>Not changed yet</v>
      </c>
      <c r="Q52" t="n">
        <v>16</v>
      </c>
      <c r="R52" t="n">
        <v>0</v>
      </c>
      <c r="S52" t="n">
        <v>1520</v>
      </c>
      <c r="T52" t="n">
        <v>0</v>
      </c>
      <c r="U52" t="inlineStr">
        <is>
          <t>7029</t>
        </is>
      </c>
      <c r="V52" t="n">
        <v>0</v>
      </c>
      <c r="W52">
        <f>IF('Tom Reid'!G15&lt;&gt;"",1,0)</f>
        <v>1</v>
      </c>
      <c r="X52">
        <f>IF('Tom Reid'!H15&lt;&gt;"",1,0)</f>
        <v>1</v>
      </c>
      <c r="Y52">
        <f>IF(OR('Tom Reid'!G15&lt;&gt;'Tom Reid'!T15,'Tom Reid'!H15&lt;&gt;'Tom Reid'!U15,N('Tom Reid'!I15)&gt;0),1,0)</f>
        <v>0</v>
      </c>
      <c r="Z52">
        <f>IF(OR(H52&lt;&gt;Q52,I52&lt;&gt;R52,J52&lt;&gt;S52,K52&lt;&gt;T52),1,0)</f>
        <v>0</v>
      </c>
    </row>
    <row r="53">
      <c r="A53" s="80" t="inlineStr">
        <is>
          <t>A1330</t>
        </is>
      </c>
      <c r="B53" s="80" t="inlineStr">
        <is>
          <t>Build package 33</t>
        </is>
      </c>
      <c r="C53" s="80" t="inlineStr">
        <is>
          <t>Design Engineer</t>
        </is>
      </c>
      <c r="D53" s="80" t="inlineStr">
        <is>
          <t>Labour · h</t>
        </is>
      </c>
      <c r="E53" s="98" t="n">
        <v>16</v>
      </c>
      <c r="F53" s="99" t="n">
        <v>880</v>
      </c>
      <c r="G53" s="99" t="n">
        <v>0</v>
      </c>
      <c r="H53" s="100" t="n">
        <v>16</v>
      </c>
      <c r="I53" s="100" t="n">
        <v>0</v>
      </c>
      <c r="J53" s="101" t="n">
        <v>880</v>
      </c>
      <c r="K53" s="101" t="n">
        <v>0</v>
      </c>
      <c r="L53" s="102">
        <f>IFERROR(N(H53)+N(I53),"")</f>
        <v>16</v>
      </c>
      <c r="M53" s="103">
        <f>IFERROR(E53-(N(H53)+N(I53)),"")</f>
        <v>0</v>
      </c>
      <c r="N53" s="104">
        <f>IFERROR(N(J53)+N(K53),"")</f>
        <v>880</v>
      </c>
      <c r="O53" s="105">
        <f>IFERROR(F53-(N(J53)+N(K53)),"")</f>
        <v>0</v>
      </c>
      <c r="P53" s="90" t="str">
        <f>IF(OR(AND(H53&lt;&gt;"",NOT(ISNUMBER(H53))),AND(I53&lt;&gt;"",NOT(ISNUMBER(I53))),AND(J53&lt;&gt;"",NOT(ISNUMBER(J53))),AND(K53&lt;&gt;"",NOT(ISNUMBER(K53)))),"Not a number",IF(OR(N(H53)&lt;0,N(I53)&lt;0,N(J53)&lt;0,N(K53)&lt;0),"Negative value",IF(AND(W53=0,OR(N(H53)&gt;0,N(J53)&gt;0)),"Start date needed",IF(AND(X53=1,OR(N(I53)&gt;0,N(K53)&gt;0)),"Remaining on finished work",IF(Z53=1,IF(OR(N(H53)&lt;Q53-0.005,N(J53)&lt;S53-0.005),"Actual reduced",IF(OR(N(H53)+N(I53)&gt;E53+0.005,N(J53)+N(K53)&gt;F53+0.005),"Over budget","✓ Updated")),IF(Y53=1,"Actuals not given","Not changed yet"))))))</f>
        <v>Not changed yet</v>
      </c>
      <c r="Q53" t="n">
        <v>16</v>
      </c>
      <c r="R53" t="n">
        <v>0</v>
      </c>
      <c r="S53" t="n">
        <v>880</v>
      </c>
      <c r="T53" t="n">
        <v>0</v>
      </c>
      <c r="U53" t="inlineStr">
        <is>
          <t>7033</t>
        </is>
      </c>
      <c r="V53" t="n">
        <v>0</v>
      </c>
      <c r="W53">
        <f>IF('Tom Reid'!G17&lt;&gt;"",1,0)</f>
        <v>1</v>
      </c>
      <c r="X53">
        <f>IF('Tom Reid'!H17&lt;&gt;"",1,0)</f>
        <v>1</v>
      </c>
      <c r="Y53">
        <f>IF(OR('Tom Reid'!G17&lt;&gt;'Tom Reid'!T17,'Tom Reid'!H17&lt;&gt;'Tom Reid'!U17,N('Tom Reid'!I17)&gt;0),1,0)</f>
        <v>0</v>
      </c>
      <c r="Z53">
        <f>IF(OR(H53&lt;&gt;Q53,I53&lt;&gt;R53,J53&lt;&gt;S53,K53&lt;&gt;T53),1,0)</f>
        <v>0</v>
      </c>
    </row>
    <row r="54">
      <c r="A54" s="80" t="inlineStr">
        <is>
          <t>A1350</t>
        </is>
      </c>
      <c r="B54" s="80" t="inlineStr">
        <is>
          <t>Build package 35</t>
        </is>
      </c>
      <c r="C54" s="80" t="inlineStr">
        <is>
          <t>Bulk Materials</t>
        </is>
      </c>
      <c r="D54" s="80" t="inlineStr">
        <is>
          <t>Material · units</t>
        </is>
      </c>
      <c r="E54" s="98" t="n">
        <v>64</v>
      </c>
      <c r="F54" s="99" t="n">
        <v>6080</v>
      </c>
      <c r="G54" s="99" t="n">
        <v>0</v>
      </c>
      <c r="H54" s="100" t="n">
        <v>38.4</v>
      </c>
      <c r="I54" s="100" t="n">
        <v>25.6</v>
      </c>
      <c r="J54" s="101" t="n">
        <v>3648</v>
      </c>
      <c r="K54" s="101" t="n">
        <v>2432</v>
      </c>
      <c r="L54" s="102">
        <f>IFERROR(N(H54)+N(I54),"")</f>
        <v>64</v>
      </c>
      <c r="M54" s="103">
        <f>IFERROR(E54-(N(H54)+N(I54)),"")</f>
        <v>0</v>
      </c>
      <c r="N54" s="104">
        <f>IFERROR(N(J54)+N(K54),"")</f>
        <v>6080</v>
      </c>
      <c r="O54" s="105">
        <f>IFERROR(F54-(N(J54)+N(K54)),"")</f>
        <v>0</v>
      </c>
      <c r="P54" s="90" t="str">
        <f>IF(OR(AND(H54&lt;&gt;"",NOT(ISNUMBER(H54))),AND(I54&lt;&gt;"",NOT(ISNUMBER(I54))),AND(J54&lt;&gt;"",NOT(ISNUMBER(J54))),AND(K54&lt;&gt;"",NOT(ISNUMBER(K54)))),"Not a number",IF(OR(N(H54)&lt;0,N(I54)&lt;0,N(J54)&lt;0,N(K54)&lt;0),"Negative value",IF(AND(W54=0,OR(N(H54)&gt;0,N(J54)&gt;0)),"Start date needed",IF(AND(X54=1,OR(N(I54)&gt;0,N(K54)&gt;0)),"Remaining on finished work",IF(Z54=1,IF(OR(N(H54)&lt;Q54-0.005,N(J54)&lt;S54-0.005),"Actual reduced",IF(OR(N(H54)+N(I54)&gt;E54+0.005,N(J54)+N(K54)&gt;F54+0.005),"Over budget","✓ Updated")),IF(Y54=1,"Actuals not given","Not changed yet"))))))</f>
        <v>Not changed yet</v>
      </c>
      <c r="Q54" t="n">
        <v>38.4</v>
      </c>
      <c r="R54" t="n">
        <v>25.6</v>
      </c>
      <c r="S54" t="n">
        <v>3648</v>
      </c>
      <c r="T54" t="n">
        <v>2432</v>
      </c>
      <c r="U54" t="inlineStr">
        <is>
          <t>7035</t>
        </is>
      </c>
      <c r="V54" t="n">
        <v>0</v>
      </c>
      <c r="W54">
        <f>IF('Tom Reid'!G18&lt;&gt;"",1,0)</f>
        <v>1</v>
      </c>
      <c r="X54">
        <f>IF('Tom Reid'!H18&lt;&gt;"",1,0)</f>
        <v>0</v>
      </c>
      <c r="Y54">
        <f>IF(OR('Tom Reid'!G18&lt;&gt;'Tom Reid'!T18,'Tom Reid'!H18&lt;&gt;'Tom Reid'!U18,N('Tom Reid'!I18)&gt;0),1,0)</f>
        <v>0</v>
      </c>
      <c r="Z54">
        <f>IF(OR(H54&lt;&gt;Q54,I54&lt;&gt;R54,J54&lt;&gt;S54,K54&lt;&gt;T54),1,0)</f>
        <v>0</v>
      </c>
    </row>
    <row r="55">
      <c r="A55" s="80" t="inlineStr">
        <is>
          <t>A1370</t>
        </is>
      </c>
      <c r="B55" s="80" t="inlineStr">
        <is>
          <t>Build package 37</t>
        </is>
      </c>
      <c r="C55" s="80" t="inlineStr">
        <is>
          <t>Site Labour</t>
        </is>
      </c>
      <c r="D55" s="80" t="inlineStr">
        <is>
          <t>Labour · h</t>
        </is>
      </c>
      <c r="E55" s="98" t="n">
        <v>40</v>
      </c>
      <c r="F55" s="99" t="n">
        <v>3000</v>
      </c>
      <c r="G55" s="99" t="n">
        <v>0</v>
      </c>
      <c r="H55" s="100" t="n">
        <v>16</v>
      </c>
      <c r="I55" s="100" t="n">
        <v>24</v>
      </c>
      <c r="J55" s="101" t="n">
        <v>1200</v>
      </c>
      <c r="K55" s="101" t="n">
        <v>1800</v>
      </c>
      <c r="L55" s="102">
        <f>IFERROR(N(H55)+N(I55),"")</f>
        <v>40</v>
      </c>
      <c r="M55" s="103">
        <f>IFERROR(E55-(N(H55)+N(I55)),"")</f>
        <v>0</v>
      </c>
      <c r="N55" s="104">
        <f>IFERROR(N(J55)+N(K55),"")</f>
        <v>3000</v>
      </c>
      <c r="O55" s="105">
        <f>IFERROR(F55-(N(J55)+N(K55)),"")</f>
        <v>0</v>
      </c>
      <c r="P55" s="90" t="str">
        <f>IF(OR(AND(H55&lt;&gt;"",NOT(ISNUMBER(H55))),AND(I55&lt;&gt;"",NOT(ISNUMBER(I55))),AND(J55&lt;&gt;"",NOT(ISNUMBER(J55))),AND(K55&lt;&gt;"",NOT(ISNUMBER(K55)))),"Not a number",IF(OR(N(H55)&lt;0,N(I55)&lt;0,N(J55)&lt;0,N(K55)&lt;0),"Negative value",IF(AND(W55=0,OR(N(H55)&gt;0,N(J55)&gt;0)),"Start date needed",IF(AND(X55=1,OR(N(I55)&gt;0,N(K55)&gt;0)),"Remaining on finished work",IF(Z55=1,IF(OR(N(H55)&lt;Q55-0.005,N(J55)&lt;S55-0.005),"Actual reduced",IF(OR(N(H55)+N(I55)&gt;E55+0.005,N(J55)+N(K55)&gt;F55+0.005),"Over budget","✓ Updated")),IF(Y55=1,"Actuals not given","Not changed yet"))))))</f>
        <v>Not changed yet</v>
      </c>
      <c r="Q55" t="n">
        <v>16</v>
      </c>
      <c r="R55" t="n">
        <v>24</v>
      </c>
      <c r="S55" t="n">
        <v>1200</v>
      </c>
      <c r="T55" t="n">
        <v>1800</v>
      </c>
      <c r="U55" t="inlineStr">
        <is>
          <t>7037</t>
        </is>
      </c>
      <c r="V55" t="n">
        <v>0</v>
      </c>
      <c r="W55">
        <f>IF('Tom Reid'!G19&lt;&gt;"",1,0)</f>
        <v>1</v>
      </c>
      <c r="X55">
        <f>IF('Tom Reid'!H19&lt;&gt;"",1,0)</f>
        <v>0</v>
      </c>
      <c r="Y55">
        <f>IF(OR('Tom Reid'!G19&lt;&gt;'Tom Reid'!T19,'Tom Reid'!H19&lt;&gt;'Tom Reid'!U19,N('Tom Reid'!I19)&gt;0),1,0)</f>
        <v>0</v>
      </c>
      <c r="Z55">
        <f>IF(OR(H55&lt;&gt;Q55,I55&lt;&gt;R55,J55&lt;&gt;S55,K55&lt;&gt;T55),1,0)</f>
        <v>0</v>
      </c>
    </row>
    <row r="56">
      <c r="A56" s="80" t="inlineStr">
        <is>
          <t>A1390</t>
        </is>
      </c>
      <c r="B56" s="80" t="inlineStr">
        <is>
          <t>Build package 39</t>
        </is>
      </c>
      <c r="C56" s="80" t="inlineStr">
        <is>
          <t>Design Engineer</t>
        </is>
      </c>
      <c r="D56" s="80" t="inlineStr">
        <is>
          <t>Labour · h</t>
        </is>
      </c>
      <c r="E56" s="98" t="n">
        <v>400</v>
      </c>
      <c r="F56" s="99" t="n">
        <v>22000</v>
      </c>
      <c r="G56" s="99" t="n">
        <v>0</v>
      </c>
      <c r="H56" s="100" t="n">
        <v>0</v>
      </c>
      <c r="I56" s="100" t="n">
        <v>400</v>
      </c>
      <c r="J56" s="101" t="n">
        <v>0</v>
      </c>
      <c r="K56" s="101" t="n">
        <v>22000</v>
      </c>
      <c r="L56" s="102">
        <f>IFERROR(N(H56)+N(I56),"")</f>
        <v>400</v>
      </c>
      <c r="M56" s="103">
        <f>IFERROR(E56-(N(H56)+N(I56)),"")</f>
        <v>0</v>
      </c>
      <c r="N56" s="104">
        <f>IFERROR(N(J56)+N(K56),"")</f>
        <v>22000</v>
      </c>
      <c r="O56" s="105">
        <f>IFERROR(F56-(N(J56)+N(K56)),"")</f>
        <v>0</v>
      </c>
      <c r="P56" s="90" t="str">
        <f>IF(OR(AND(H56&lt;&gt;"",NOT(ISNUMBER(H56))),AND(I56&lt;&gt;"",NOT(ISNUMBER(I56))),AND(J56&lt;&gt;"",NOT(ISNUMBER(J56))),AND(K56&lt;&gt;"",NOT(ISNUMBER(K56)))),"Not a number",IF(OR(N(H56)&lt;0,N(I56)&lt;0,N(J56)&lt;0,N(K56)&lt;0),"Negative value",IF(AND(W56=0,OR(N(H56)&gt;0,N(J56)&gt;0)),"Start date needed",IF(AND(X56=1,OR(N(I56)&gt;0,N(K56)&gt;0)),"Remaining on finished work",IF(Z56=1,IF(OR(N(H56)&lt;Q56-0.005,N(J56)&lt;S56-0.005),"Actual reduced",IF(OR(N(H56)+N(I56)&gt;E56+0.005,N(J56)+N(K56)&gt;F56+0.005),"Over budget","✓ Updated")),IF(Y56=1,"Actuals not given","Not changed yet"))))))</f>
        <v>Not changed yet</v>
      </c>
      <c r="Q56" t="n">
        <v>0</v>
      </c>
      <c r="R56" t="n">
        <v>400</v>
      </c>
      <c r="S56" t="n">
        <v>0</v>
      </c>
      <c r="T56" t="n">
        <v>22000</v>
      </c>
      <c r="U56" t="inlineStr">
        <is>
          <t>7039</t>
        </is>
      </c>
      <c r="V56" t="n">
        <v>0</v>
      </c>
      <c r="W56">
        <f>IF('Tom Reid'!G20&lt;&gt;"",1,0)</f>
        <v>0</v>
      </c>
      <c r="X56">
        <f>IF('Tom Reid'!H20&lt;&gt;"",1,0)</f>
        <v>0</v>
      </c>
      <c r="Y56">
        <f>IF(OR('Tom Reid'!G20&lt;&gt;'Tom Reid'!T20,'Tom Reid'!H20&lt;&gt;'Tom Reid'!U20,N('Tom Reid'!I20)&gt;0),1,0)</f>
        <v>0</v>
      </c>
      <c r="Z56">
        <f>IF(OR(H56&lt;&gt;Q56,I56&lt;&gt;R56,J56&lt;&gt;S56,K56&lt;&gt;T56),1,0)</f>
        <v>0</v>
      </c>
    </row>
    <row r="57">
      <c r="A57" s="80" t="inlineStr">
        <is>
          <t>A1410</t>
        </is>
      </c>
      <c r="B57" s="80" t="inlineStr">
        <is>
          <t>Build package 41</t>
        </is>
      </c>
      <c r="C57" s="80" t="inlineStr">
        <is>
          <t>Bulk Materials</t>
        </is>
      </c>
      <c r="D57" s="80" t="inlineStr">
        <is>
          <t>Material · units</t>
        </is>
      </c>
      <c r="E57" s="98" t="n">
        <v>120</v>
      </c>
      <c r="F57" s="99" t="n">
        <v>11400</v>
      </c>
      <c r="G57" s="99" t="n">
        <v>0</v>
      </c>
      <c r="H57" s="100" t="n">
        <v>0</v>
      </c>
      <c r="I57" s="100" t="n">
        <v>120</v>
      </c>
      <c r="J57" s="101" t="n">
        <v>0</v>
      </c>
      <c r="K57" s="101" t="n">
        <v>11400</v>
      </c>
      <c r="L57" s="102">
        <f>IFERROR(N(H57)+N(I57),"")</f>
        <v>120</v>
      </c>
      <c r="M57" s="103">
        <f>IFERROR(E57-(N(H57)+N(I57)),"")</f>
        <v>0</v>
      </c>
      <c r="N57" s="104">
        <f>IFERROR(N(J57)+N(K57),"")</f>
        <v>11400</v>
      </c>
      <c r="O57" s="105">
        <f>IFERROR(F57-(N(J57)+N(K57)),"")</f>
        <v>0</v>
      </c>
      <c r="P57" s="90" t="str">
        <f>IF(OR(AND(H57&lt;&gt;"",NOT(ISNUMBER(H57))),AND(I57&lt;&gt;"",NOT(ISNUMBER(I57))),AND(J57&lt;&gt;"",NOT(ISNUMBER(J57))),AND(K57&lt;&gt;"",NOT(ISNUMBER(K57)))),"Not a number",IF(OR(N(H57)&lt;0,N(I57)&lt;0,N(J57)&lt;0,N(K57)&lt;0),"Negative value",IF(AND(W57=0,OR(N(H57)&gt;0,N(J57)&gt;0)),"Start date needed",IF(AND(X57=1,OR(N(I57)&gt;0,N(K57)&gt;0)),"Remaining on finished work",IF(Z57=1,IF(OR(N(H57)&lt;Q57-0.005,N(J57)&lt;S57-0.005),"Actual reduced",IF(OR(N(H57)+N(I57)&gt;E57+0.005,N(J57)+N(K57)&gt;F57+0.005),"Over budget","✓ Updated")),IF(Y57=1,"Actuals not given","Not changed yet"))))))</f>
        <v>Not changed yet</v>
      </c>
      <c r="Q57" t="n">
        <v>0</v>
      </c>
      <c r="R57" t="n">
        <v>120</v>
      </c>
      <c r="S57" t="n">
        <v>0</v>
      </c>
      <c r="T57" t="n">
        <v>11400</v>
      </c>
      <c r="U57" t="inlineStr">
        <is>
          <t>7041</t>
        </is>
      </c>
      <c r="V57" t="n">
        <v>0</v>
      </c>
      <c r="W57">
        <f>IF('Tom Reid'!G21&lt;&gt;"",1,0)</f>
        <v>0</v>
      </c>
      <c r="X57">
        <f>IF('Tom Reid'!H21&lt;&gt;"",1,0)</f>
        <v>0</v>
      </c>
      <c r="Y57">
        <f>IF(OR('Tom Reid'!G21&lt;&gt;'Tom Reid'!T21,'Tom Reid'!H21&lt;&gt;'Tom Reid'!U21,N('Tom Reid'!I21)&gt;0),1,0)</f>
        <v>0</v>
      </c>
      <c r="Z57">
        <f>IF(OR(H57&lt;&gt;Q57,I57&lt;&gt;R57,J57&lt;&gt;S57,K57&lt;&gt;T57),1,0)</f>
        <v>0</v>
      </c>
    </row>
    <row r="58">
      <c r="A58" s="80" t="inlineStr">
        <is>
          <t>A1430</t>
        </is>
      </c>
      <c r="B58" s="80" t="inlineStr">
        <is>
          <t>Build package 43</t>
        </is>
      </c>
      <c r="C58" s="80" t="inlineStr">
        <is>
          <t>Site Labour</t>
        </is>
      </c>
      <c r="D58" s="80" t="inlineStr">
        <is>
          <t>Labour · h</t>
        </is>
      </c>
      <c r="E58" s="98" t="n">
        <v>120</v>
      </c>
      <c r="F58" s="99" t="n">
        <v>9000</v>
      </c>
      <c r="G58" s="99" t="n">
        <v>0</v>
      </c>
      <c r="H58" s="100" t="n">
        <v>0</v>
      </c>
      <c r="I58" s="100" t="n">
        <v>120</v>
      </c>
      <c r="J58" s="101" t="n">
        <v>0</v>
      </c>
      <c r="K58" s="101" t="n">
        <v>9000</v>
      </c>
      <c r="L58" s="102">
        <f>IFERROR(N(H58)+N(I58),"")</f>
        <v>120</v>
      </c>
      <c r="M58" s="103">
        <f>IFERROR(E58-(N(H58)+N(I58)),"")</f>
        <v>0</v>
      </c>
      <c r="N58" s="104">
        <f>IFERROR(N(J58)+N(K58),"")</f>
        <v>9000</v>
      </c>
      <c r="O58" s="105">
        <f>IFERROR(F58-(N(J58)+N(K58)),"")</f>
        <v>0</v>
      </c>
      <c r="P58" s="90" t="str">
        <f>IF(OR(AND(H58&lt;&gt;"",NOT(ISNUMBER(H58))),AND(I58&lt;&gt;"",NOT(ISNUMBER(I58))),AND(J58&lt;&gt;"",NOT(ISNUMBER(J58))),AND(K58&lt;&gt;"",NOT(ISNUMBER(K58)))),"Not a number",IF(OR(N(H58)&lt;0,N(I58)&lt;0,N(J58)&lt;0,N(K58)&lt;0),"Negative value",IF(AND(W58=0,OR(N(H58)&gt;0,N(J58)&gt;0)),"Start date needed",IF(AND(X58=1,OR(N(I58)&gt;0,N(K58)&gt;0)),"Remaining on finished work",IF(Z58=1,IF(OR(N(H58)&lt;Q58-0.005,N(J58)&lt;S58-0.005),"Actual reduced",IF(OR(N(H58)+N(I58)&gt;E58+0.005,N(J58)+N(K58)&gt;F58+0.005),"Over budget","✓ Updated")),IF(Y58=1,"Actuals not given","Not changed yet"))))))</f>
        <v>Not changed yet</v>
      </c>
      <c r="Q58" t="n">
        <v>0</v>
      </c>
      <c r="R58" t="n">
        <v>120</v>
      </c>
      <c r="S58" t="n">
        <v>0</v>
      </c>
      <c r="T58" t="n">
        <v>9000</v>
      </c>
      <c r="U58" t="inlineStr">
        <is>
          <t>7043</t>
        </is>
      </c>
      <c r="V58" t="n">
        <v>0</v>
      </c>
      <c r="W58">
        <f>IF('Tom Reid'!G22&lt;&gt;"",1,0)</f>
        <v>0</v>
      </c>
      <c r="X58">
        <f>IF('Tom Reid'!H22&lt;&gt;"",1,0)</f>
        <v>0</v>
      </c>
      <c r="Y58">
        <f>IF(OR('Tom Reid'!G22&lt;&gt;'Tom Reid'!T22,'Tom Reid'!H22&lt;&gt;'Tom Reid'!U22,N('Tom Reid'!I22)&gt;0),1,0)</f>
        <v>0</v>
      </c>
      <c r="Z58">
        <f>IF(OR(H58&lt;&gt;Q58,I58&lt;&gt;R58,J58&lt;&gt;S58,K58&lt;&gt;T58),1,0)</f>
        <v>0</v>
      </c>
    </row>
    <row r="59">
      <c r="A59" s="80" t="inlineStr">
        <is>
          <t>A1470</t>
        </is>
      </c>
      <c r="B59" s="80" t="inlineStr">
        <is>
          <t>Build package 47</t>
        </is>
      </c>
      <c r="C59" s="80" t="inlineStr">
        <is>
          <t>Bulk Materials</t>
        </is>
      </c>
      <c r="D59" s="80" t="inlineStr">
        <is>
          <t>Material · units</t>
        </is>
      </c>
      <c r="E59" s="98" t="n">
        <v>40</v>
      </c>
      <c r="F59" s="99" t="n">
        <v>3800</v>
      </c>
      <c r="G59" s="99" t="n">
        <v>0</v>
      </c>
      <c r="H59" s="100" t="n">
        <v>0</v>
      </c>
      <c r="I59" s="100" t="n">
        <v>40</v>
      </c>
      <c r="J59" s="101" t="n">
        <v>0</v>
      </c>
      <c r="K59" s="101" t="n">
        <v>3800</v>
      </c>
      <c r="L59" s="102">
        <f>IFERROR(N(H59)+N(I59),"")</f>
        <v>40</v>
      </c>
      <c r="M59" s="103">
        <f>IFERROR(E59-(N(H59)+N(I59)),"")</f>
        <v>0</v>
      </c>
      <c r="N59" s="104">
        <f>IFERROR(N(J59)+N(K59),"")</f>
        <v>3800</v>
      </c>
      <c r="O59" s="105">
        <f>IFERROR(F59-(N(J59)+N(K59)),"")</f>
        <v>0</v>
      </c>
      <c r="P59" s="90" t="str">
        <f>IF(OR(AND(H59&lt;&gt;"",NOT(ISNUMBER(H59))),AND(I59&lt;&gt;"",NOT(ISNUMBER(I59))),AND(J59&lt;&gt;"",NOT(ISNUMBER(J59))),AND(K59&lt;&gt;"",NOT(ISNUMBER(K59)))),"Not a number",IF(OR(N(H59)&lt;0,N(I59)&lt;0,N(J59)&lt;0,N(K59)&lt;0),"Negative value",IF(AND(W59=0,OR(N(H59)&gt;0,N(J59)&gt;0)),"Start date needed",IF(AND(X59=1,OR(N(I59)&gt;0,N(K59)&gt;0)),"Remaining on finished work",IF(Z59=1,IF(OR(N(H59)&lt;Q59-0.005,N(J59)&lt;S59-0.005),"Actual reduced",IF(OR(N(H59)+N(I59)&gt;E59+0.005,N(J59)+N(K59)&gt;F59+0.005),"Over budget","✓ Updated")),IF(Y59=1,"Actuals not given","Not changed yet"))))))</f>
        <v>Not changed yet</v>
      </c>
      <c r="Q59" t="n">
        <v>0</v>
      </c>
      <c r="R59" t="n">
        <v>40</v>
      </c>
      <c r="S59" t="n">
        <v>0</v>
      </c>
      <c r="T59" t="n">
        <v>3800</v>
      </c>
      <c r="U59" t="inlineStr">
        <is>
          <t>7047</t>
        </is>
      </c>
      <c r="V59" t="n">
        <v>0</v>
      </c>
      <c r="W59">
        <f>IF('Tom Reid'!G24&lt;&gt;"",1,0)</f>
        <v>0</v>
      </c>
      <c r="X59">
        <f>IF('Tom Reid'!H24&lt;&gt;"",1,0)</f>
        <v>0</v>
      </c>
      <c r="Y59">
        <f>IF(OR('Tom Reid'!G24&lt;&gt;'Tom Reid'!T24,'Tom Reid'!H24&lt;&gt;'Tom Reid'!U24,N('Tom Reid'!I24)&gt;0),1,0)</f>
        <v>0</v>
      </c>
      <c r="Z59">
        <f>IF(OR(H59&lt;&gt;Q59,I59&lt;&gt;R59,J59&lt;&gt;S59,K59&lt;&gt;T59),1,0)</f>
        <v>0</v>
      </c>
    </row>
    <row r="60">
      <c r="A60" s="80" t="inlineStr">
        <is>
          <t>A1490</t>
        </is>
      </c>
      <c r="B60" s="80" t="inlineStr">
        <is>
          <t>Build package 49</t>
        </is>
      </c>
      <c r="C60" s="80" t="inlineStr">
        <is>
          <t>Site Labour</t>
        </is>
      </c>
      <c r="D60" s="80" t="inlineStr">
        <is>
          <t>Labour · h</t>
        </is>
      </c>
      <c r="E60" s="98" t="n">
        <v>64</v>
      </c>
      <c r="F60" s="99" t="n">
        <v>4800</v>
      </c>
      <c r="G60" s="99" t="n">
        <v>0</v>
      </c>
      <c r="H60" s="100" t="n">
        <v>0</v>
      </c>
      <c r="I60" s="100" t="n">
        <v>64</v>
      </c>
      <c r="J60" s="101" t="n">
        <v>0</v>
      </c>
      <c r="K60" s="101" t="n">
        <v>4800</v>
      </c>
      <c r="L60" s="102">
        <f>IFERROR(N(H60)+N(I60),"")</f>
        <v>64</v>
      </c>
      <c r="M60" s="103">
        <f>IFERROR(E60-(N(H60)+N(I60)),"")</f>
        <v>0</v>
      </c>
      <c r="N60" s="104">
        <f>IFERROR(N(J60)+N(K60),"")</f>
        <v>4800</v>
      </c>
      <c r="O60" s="105">
        <f>IFERROR(F60-(N(J60)+N(K60)),"")</f>
        <v>0</v>
      </c>
      <c r="P60" s="90" t="str">
        <f>IF(OR(AND(H60&lt;&gt;"",NOT(ISNUMBER(H60))),AND(I60&lt;&gt;"",NOT(ISNUMBER(I60))),AND(J60&lt;&gt;"",NOT(ISNUMBER(J60))),AND(K60&lt;&gt;"",NOT(ISNUMBER(K60)))),"Not a number",IF(OR(N(H60)&lt;0,N(I60)&lt;0,N(J60)&lt;0,N(K60)&lt;0),"Negative value",IF(AND(W60=0,OR(N(H60)&gt;0,N(J60)&gt;0)),"Start date needed",IF(AND(X60=1,OR(N(I60)&gt;0,N(K60)&gt;0)),"Remaining on finished work",IF(Z60=1,IF(OR(N(H60)&lt;Q60-0.005,N(J60)&lt;S60-0.005),"Actual reduced",IF(OR(N(H60)+N(I60)&gt;E60+0.005,N(J60)+N(K60)&gt;F60+0.005),"Over budget","✓ Updated")),IF(Y60=1,"Actuals not given","Not changed yet"))))))</f>
        <v>Not changed yet</v>
      </c>
      <c r="Q60" t="n">
        <v>0</v>
      </c>
      <c r="R60" t="n">
        <v>64</v>
      </c>
      <c r="S60" t="n">
        <v>0</v>
      </c>
      <c r="T60" t="n">
        <v>4800</v>
      </c>
      <c r="U60" t="inlineStr">
        <is>
          <t>7049</t>
        </is>
      </c>
      <c r="V60" t="n">
        <v>0</v>
      </c>
      <c r="W60">
        <f>IF('Tom Reid'!G25&lt;&gt;"",1,0)</f>
        <v>0</v>
      </c>
      <c r="X60">
        <f>IF('Tom Reid'!H25&lt;&gt;"",1,0)</f>
        <v>0</v>
      </c>
      <c r="Y60">
        <f>IF(OR('Tom Reid'!G25&lt;&gt;'Tom Reid'!T25,'Tom Reid'!H25&lt;&gt;'Tom Reid'!U25,N('Tom Reid'!I25)&gt;0),1,0)</f>
        <v>0</v>
      </c>
      <c r="Z60">
        <f>IF(OR(H60&lt;&gt;Q60,I60&lt;&gt;R60,J60&lt;&gt;S60,K60&lt;&gt;T60),1,0)</f>
        <v>0</v>
      </c>
    </row>
    <row r="61">
      <c r="A61" s="80" t="inlineStr">
        <is>
          <t>A1510</t>
        </is>
      </c>
      <c r="B61" s="80" t="inlineStr">
        <is>
          <t>Build package 51</t>
        </is>
      </c>
      <c r="C61" s="80" t="inlineStr">
        <is>
          <t>Design Engineer</t>
        </is>
      </c>
      <c r="D61" s="80" t="inlineStr">
        <is>
          <t>Labour · h</t>
        </is>
      </c>
      <c r="E61" s="98" t="n">
        <v>24</v>
      </c>
      <c r="F61" s="99" t="n">
        <v>1320</v>
      </c>
      <c r="G61" s="99" t="n">
        <v>0</v>
      </c>
      <c r="H61" s="100" t="n">
        <v>0</v>
      </c>
      <c r="I61" s="100" t="n">
        <v>24</v>
      </c>
      <c r="J61" s="101" t="n">
        <v>0</v>
      </c>
      <c r="K61" s="101" t="n">
        <v>1320</v>
      </c>
      <c r="L61" s="102">
        <f>IFERROR(N(H61)+N(I61),"")</f>
        <v>24</v>
      </c>
      <c r="M61" s="103">
        <f>IFERROR(E61-(N(H61)+N(I61)),"")</f>
        <v>0</v>
      </c>
      <c r="N61" s="104">
        <f>IFERROR(N(J61)+N(K61),"")</f>
        <v>1320</v>
      </c>
      <c r="O61" s="105">
        <f>IFERROR(F61-(N(J61)+N(K61)),"")</f>
        <v>0</v>
      </c>
      <c r="P61" s="90" t="str">
        <f>IF(OR(AND(H61&lt;&gt;"",NOT(ISNUMBER(H61))),AND(I61&lt;&gt;"",NOT(ISNUMBER(I61))),AND(J61&lt;&gt;"",NOT(ISNUMBER(J61))),AND(K61&lt;&gt;"",NOT(ISNUMBER(K61)))),"Not a number",IF(OR(N(H61)&lt;0,N(I61)&lt;0,N(J61)&lt;0,N(K61)&lt;0),"Negative value",IF(AND(W61=0,OR(N(H61)&gt;0,N(J61)&gt;0)),"Start date needed",IF(AND(X61=1,OR(N(I61)&gt;0,N(K61)&gt;0)),"Remaining on finished work",IF(Z61=1,IF(OR(N(H61)&lt;Q61-0.005,N(J61)&lt;S61-0.005),"Actual reduced",IF(OR(N(H61)+N(I61)&gt;E61+0.005,N(J61)+N(K61)&gt;F61+0.005),"Over budget","✓ Updated")),IF(Y61=1,"Actuals not given","Not changed yet"))))))</f>
        <v>Not changed yet</v>
      </c>
      <c r="Q61" t="n">
        <v>0</v>
      </c>
      <c r="R61" t="n">
        <v>24</v>
      </c>
      <c r="S61" t="n">
        <v>0</v>
      </c>
      <c r="T61" t="n">
        <v>1320</v>
      </c>
      <c r="U61" t="inlineStr">
        <is>
          <t>7051</t>
        </is>
      </c>
      <c r="V61" t="n">
        <v>0</v>
      </c>
      <c r="W61">
        <f>IF('Tom Reid'!G26&lt;&gt;"",1,0)</f>
        <v>0</v>
      </c>
      <c r="X61">
        <f>IF('Tom Reid'!H26&lt;&gt;"",1,0)</f>
        <v>0</v>
      </c>
      <c r="Y61">
        <f>IF(OR('Tom Reid'!G26&lt;&gt;'Tom Reid'!T26,'Tom Reid'!H26&lt;&gt;'Tom Reid'!U26,N('Tom Reid'!I26)&gt;0),1,0)</f>
        <v>0</v>
      </c>
      <c r="Z61">
        <f>IF(OR(H61&lt;&gt;Q61,I61&lt;&gt;R61,J61&lt;&gt;S61,K61&lt;&gt;T61),1,0)</f>
        <v>0</v>
      </c>
    </row>
    <row r="62">
      <c r="A62" s="80" t="inlineStr">
        <is>
          <t>A1530</t>
        </is>
      </c>
      <c r="B62" s="80" t="inlineStr">
        <is>
          <t>Build package 53</t>
        </is>
      </c>
      <c r="C62" s="80" t="inlineStr">
        <is>
          <t>Bulk Materials</t>
        </is>
      </c>
      <c r="D62" s="80" t="inlineStr">
        <is>
          <t>Material · units</t>
        </is>
      </c>
      <c r="E62" s="98" t="n">
        <v>400</v>
      </c>
      <c r="F62" s="99" t="n">
        <v>38000</v>
      </c>
      <c r="G62" s="99" t="n">
        <v>0</v>
      </c>
      <c r="H62" s="100" t="n">
        <v>0</v>
      </c>
      <c r="I62" s="100" t="n">
        <v>400</v>
      </c>
      <c r="J62" s="101" t="n">
        <v>0</v>
      </c>
      <c r="K62" s="101" t="n">
        <v>38000</v>
      </c>
      <c r="L62" s="102">
        <f>IFERROR(N(H62)+N(I62),"")</f>
        <v>400</v>
      </c>
      <c r="M62" s="103">
        <f>IFERROR(E62-(N(H62)+N(I62)),"")</f>
        <v>0</v>
      </c>
      <c r="N62" s="104">
        <f>IFERROR(N(J62)+N(K62),"")</f>
        <v>38000</v>
      </c>
      <c r="O62" s="105">
        <f>IFERROR(F62-(N(J62)+N(K62)),"")</f>
        <v>0</v>
      </c>
      <c r="P62" s="90" t="str">
        <f>IF(OR(AND(H62&lt;&gt;"",NOT(ISNUMBER(H62))),AND(I62&lt;&gt;"",NOT(ISNUMBER(I62))),AND(J62&lt;&gt;"",NOT(ISNUMBER(J62))),AND(K62&lt;&gt;"",NOT(ISNUMBER(K62)))),"Not a number",IF(OR(N(H62)&lt;0,N(I62)&lt;0,N(J62)&lt;0,N(K62)&lt;0),"Negative value",IF(AND(W62=0,OR(N(H62)&gt;0,N(J62)&gt;0)),"Start date needed",IF(AND(X62=1,OR(N(I62)&gt;0,N(K62)&gt;0)),"Remaining on finished work",IF(Z62=1,IF(OR(N(H62)&lt;Q62-0.005,N(J62)&lt;S62-0.005),"Actual reduced",IF(OR(N(H62)+N(I62)&gt;E62+0.005,N(J62)+N(K62)&gt;F62+0.005),"Over budget","✓ Updated")),IF(Y62=1,"Actuals not given","Not changed yet"))))))</f>
        <v>Not changed yet</v>
      </c>
      <c r="Q62" t="n">
        <v>0</v>
      </c>
      <c r="R62" t="n">
        <v>400</v>
      </c>
      <c r="S62" t="n">
        <v>0</v>
      </c>
      <c r="T62" t="n">
        <v>38000</v>
      </c>
      <c r="U62" t="inlineStr">
        <is>
          <t>7053</t>
        </is>
      </c>
      <c r="V62" t="n">
        <v>0</v>
      </c>
      <c r="W62">
        <f>IF('Tom Reid'!G27&lt;&gt;"",1,0)</f>
        <v>0</v>
      </c>
      <c r="X62">
        <f>IF('Tom Reid'!H27&lt;&gt;"",1,0)</f>
        <v>0</v>
      </c>
      <c r="Y62">
        <f>IF(OR('Tom Reid'!G27&lt;&gt;'Tom Reid'!T27,'Tom Reid'!H27&lt;&gt;'Tom Reid'!U27,N('Tom Reid'!I27)&gt;0),1,0)</f>
        <v>0</v>
      </c>
      <c r="Z62">
        <f>IF(OR(H62&lt;&gt;Q62,I62&lt;&gt;R62,J62&lt;&gt;S62,K62&lt;&gt;T62),1,0)</f>
        <v>0</v>
      </c>
    </row>
    <row r="63">
      <c r="A63" s="80" t="inlineStr">
        <is>
          <t>A1550</t>
        </is>
      </c>
      <c r="B63" s="80" t="inlineStr">
        <is>
          <t>Build package 55</t>
        </is>
      </c>
      <c r="C63" s="80" t="inlineStr">
        <is>
          <t>Site Labour</t>
        </is>
      </c>
      <c r="D63" s="80" t="inlineStr">
        <is>
          <t>Labour · h</t>
        </is>
      </c>
      <c r="E63" s="98" t="n">
        <v>64</v>
      </c>
      <c r="F63" s="99" t="n">
        <v>4800</v>
      </c>
      <c r="G63" s="99" t="n">
        <v>0</v>
      </c>
      <c r="H63" s="100" t="n">
        <v>0</v>
      </c>
      <c r="I63" s="100" t="n">
        <v>64</v>
      </c>
      <c r="J63" s="101" t="n">
        <v>0</v>
      </c>
      <c r="K63" s="101" t="n">
        <v>4800</v>
      </c>
      <c r="L63" s="102">
        <f>IFERROR(N(H63)+N(I63),"")</f>
        <v>64</v>
      </c>
      <c r="M63" s="103">
        <f>IFERROR(E63-(N(H63)+N(I63)),"")</f>
        <v>0</v>
      </c>
      <c r="N63" s="104">
        <f>IFERROR(N(J63)+N(K63),"")</f>
        <v>4800</v>
      </c>
      <c r="O63" s="105">
        <f>IFERROR(F63-(N(J63)+N(K63)),"")</f>
        <v>0</v>
      </c>
      <c r="P63" s="90" t="str">
        <f>IF(OR(AND(H63&lt;&gt;"",NOT(ISNUMBER(H63))),AND(I63&lt;&gt;"",NOT(ISNUMBER(I63))),AND(J63&lt;&gt;"",NOT(ISNUMBER(J63))),AND(K63&lt;&gt;"",NOT(ISNUMBER(K63)))),"Not a number",IF(OR(N(H63)&lt;0,N(I63)&lt;0,N(J63)&lt;0,N(K63)&lt;0),"Negative value",IF(AND(W63=0,OR(N(H63)&gt;0,N(J63)&gt;0)),"Start date needed",IF(AND(X63=1,OR(N(I63)&gt;0,N(K63)&gt;0)),"Remaining on finished work",IF(Z63=1,IF(OR(N(H63)&lt;Q63-0.005,N(J63)&lt;S63-0.005),"Actual reduced",IF(OR(N(H63)+N(I63)&gt;E63+0.005,N(J63)+N(K63)&gt;F63+0.005),"Over budget","✓ Updated")),IF(Y63=1,"Actuals not given","Not changed yet"))))))</f>
        <v>Not changed yet</v>
      </c>
      <c r="Q63" t="n">
        <v>0</v>
      </c>
      <c r="R63" t="n">
        <v>64</v>
      </c>
      <c r="S63" t="n">
        <v>0</v>
      </c>
      <c r="T63" t="n">
        <v>4800</v>
      </c>
      <c r="U63" t="inlineStr">
        <is>
          <t>7055</t>
        </is>
      </c>
      <c r="V63" t="n">
        <v>0</v>
      </c>
      <c r="W63">
        <f>IF('Tom Reid'!G28&lt;&gt;"",1,0)</f>
        <v>0</v>
      </c>
      <c r="X63">
        <f>IF('Tom Reid'!H28&lt;&gt;"",1,0)</f>
        <v>0</v>
      </c>
      <c r="Y63">
        <f>IF(OR('Tom Reid'!G28&lt;&gt;'Tom Reid'!T28,'Tom Reid'!H28&lt;&gt;'Tom Reid'!U28,N('Tom Reid'!I28)&gt;0),1,0)</f>
        <v>0</v>
      </c>
      <c r="Z63">
        <f>IF(OR(H63&lt;&gt;Q63,I63&lt;&gt;R63,J63&lt;&gt;S63,K63&lt;&gt;T63),1,0)</f>
        <v>0</v>
      </c>
    </row>
    <row r="64">
      <c r="A64" s="80" t="inlineStr">
        <is>
          <t>A1570</t>
        </is>
      </c>
      <c r="B64" s="80" t="inlineStr">
        <is>
          <t>Build package 57</t>
        </is>
      </c>
      <c r="C64" s="80" t="inlineStr">
        <is>
          <t>Design Engineer</t>
        </is>
      </c>
      <c r="D64" s="80" t="inlineStr">
        <is>
          <t>Labour · h</t>
        </is>
      </c>
      <c r="E64" s="98" t="n">
        <v>24</v>
      </c>
      <c r="F64" s="99" t="n">
        <v>1320</v>
      </c>
      <c r="G64" s="99" t="n">
        <v>0</v>
      </c>
      <c r="H64" s="100" t="n">
        <v>0</v>
      </c>
      <c r="I64" s="100" t="n">
        <v>24</v>
      </c>
      <c r="J64" s="101" t="n">
        <v>0</v>
      </c>
      <c r="K64" s="101" t="n">
        <v>1320</v>
      </c>
      <c r="L64" s="102">
        <f>IFERROR(N(H64)+N(I64),"")</f>
        <v>24</v>
      </c>
      <c r="M64" s="103">
        <f>IFERROR(E64-(N(H64)+N(I64)),"")</f>
        <v>0</v>
      </c>
      <c r="N64" s="104">
        <f>IFERROR(N(J64)+N(K64),"")</f>
        <v>1320</v>
      </c>
      <c r="O64" s="105">
        <f>IFERROR(F64-(N(J64)+N(K64)),"")</f>
        <v>0</v>
      </c>
      <c r="P64" s="90" t="str">
        <f>IF(OR(AND(H64&lt;&gt;"",NOT(ISNUMBER(H64))),AND(I64&lt;&gt;"",NOT(ISNUMBER(I64))),AND(J64&lt;&gt;"",NOT(ISNUMBER(J64))),AND(K64&lt;&gt;"",NOT(ISNUMBER(K64)))),"Not a number",IF(OR(N(H64)&lt;0,N(I64)&lt;0,N(J64)&lt;0,N(K64)&lt;0),"Negative value",IF(AND(W64=0,OR(N(H64)&gt;0,N(J64)&gt;0)),"Start date needed",IF(AND(X64=1,OR(N(I64)&gt;0,N(K64)&gt;0)),"Remaining on finished work",IF(Z64=1,IF(OR(N(H64)&lt;Q64-0.005,N(J64)&lt;S64-0.005),"Actual reduced",IF(OR(N(H64)+N(I64)&gt;E64+0.005,N(J64)+N(K64)&gt;F64+0.005),"Over budget","✓ Updated")),IF(Y64=1,"Actuals not given","Not changed yet"))))))</f>
        <v>Not changed yet</v>
      </c>
      <c r="Q64" t="n">
        <v>0</v>
      </c>
      <c r="R64" t="n">
        <v>24</v>
      </c>
      <c r="S64" t="n">
        <v>0</v>
      </c>
      <c r="T64" t="n">
        <v>1320</v>
      </c>
      <c r="U64" t="inlineStr">
        <is>
          <t>7057</t>
        </is>
      </c>
      <c r="V64" t="n">
        <v>0</v>
      </c>
      <c r="W64">
        <f>IF('Tom Reid'!G29&lt;&gt;"",1,0)</f>
        <v>0</v>
      </c>
      <c r="X64">
        <f>IF('Tom Reid'!H29&lt;&gt;"",1,0)</f>
        <v>0</v>
      </c>
      <c r="Y64">
        <f>IF(OR('Tom Reid'!G29&lt;&gt;'Tom Reid'!T29,'Tom Reid'!H29&lt;&gt;'Tom Reid'!U29,N('Tom Reid'!I29)&gt;0),1,0)</f>
        <v>0</v>
      </c>
      <c r="Z64">
        <f>IF(OR(H64&lt;&gt;Q64,I64&lt;&gt;R64,J64&lt;&gt;S64,K64&lt;&gt;T64),1,0)</f>
        <v>0</v>
      </c>
    </row>
  </sheetData>
  <sheetProtection selectLockedCells="0" selectUnlockedCells="0" sheet="1" objects="0" insertRows="1" insertHyperlinks="1" autoFilter="0" scenarios="0" formatColumns="0" deleteColumns="1" insertColumns="1" pivotTables="1" deleteRows="1" formatCells="1" formatRows="0" sort="0"/>
  <autoFilter ref="A9:P64"/>
  <mergeCells count="14">
    <mergeCell ref="G4:H4"/>
    <mergeCell ref="E4:F4"/>
    <mergeCell ref="E6:F6"/>
    <mergeCell ref="I4:J4"/>
    <mergeCell ref="I6:J6"/>
    <mergeCell ref="A8:G8"/>
    <mergeCell ref="H8:K8"/>
    <mergeCell ref="G5:H5"/>
    <mergeCell ref="E5:F5"/>
    <mergeCell ref="I5:J5"/>
    <mergeCell ref="A3:P3"/>
    <mergeCell ref="A4:B6"/>
    <mergeCell ref="G6:H6"/>
    <mergeCell ref="L8:P8"/>
  </mergeCells>
  <conditionalFormatting sqref="E5">
    <cfRule type="cellIs" priority="1" operator="greaterThan" dxfId="0">
      <formula>0</formula>
    </cfRule>
  </conditionalFormatting>
  <conditionalFormatting sqref="H10:H64">
    <cfRule type="expression" priority="2" dxfId="12">
      <formula>AND($U10&lt;&gt;"",H10&lt;&gt;Q10)</formula>
    </cfRule>
  </conditionalFormatting>
  <conditionalFormatting sqref="I10:I64">
    <cfRule type="expression" priority="3" dxfId="12">
      <formula>AND($U10&lt;&gt;"",I10&lt;&gt;R10)</formula>
    </cfRule>
  </conditionalFormatting>
  <conditionalFormatting sqref="J10:J64">
    <cfRule type="expression" priority="4" dxfId="12">
      <formula>AND($V10=0,J10&lt;&gt;S10)</formula>
    </cfRule>
  </conditionalFormatting>
  <conditionalFormatting sqref="K10:K64">
    <cfRule type="expression" priority="5" dxfId="12">
      <formula>AND($V10=0,K10&lt;&gt;T10)</formula>
    </cfRule>
  </conditionalFormatting>
  <conditionalFormatting sqref="P10:P64">
    <cfRule type="expression" priority="6" dxfId="10">
      <formula>LEFT(P10,1)="✓"</formula>
    </cfRule>
    <cfRule type="expression" priority="7" dxfId="11">
      <formula>P10="Not a number"</formula>
    </cfRule>
    <cfRule type="expression" priority="8" dxfId="11">
      <formula>P10="Negative value"</formula>
    </cfRule>
    <cfRule type="expression" priority="9" dxfId="11">
      <formula>P10="Start date needed"</formula>
    </cfRule>
    <cfRule type="expression" priority="10" dxfId="11">
      <formula>P10="Remaining on finished work"</formula>
    </cfRule>
    <cfRule type="expression" priority="11" dxfId="14">
      <formula>P10="Actual reduced"</formula>
    </cfRule>
    <cfRule type="expression" priority="12" dxfId="14">
      <formula>P10="Over budget"</formula>
    </cfRule>
    <cfRule type="expression" priority="13" dxfId="14">
      <formula>P10="Actuals not given"</formula>
    </cfRule>
    <cfRule type="expression" priority="14" dxfId="6">
      <formula>P10="Not changed yet"</formula>
    </cfRule>
  </conditionalFormatting>
  <dataValidations count="4">
    <dataValidation sqref="H10:H64" showDropDown="0" showInputMessage="1" showErrorMessage="1" allowBlank="1" errorTitle="Not a quantity" error="Type a number, 0 or more." promptTitle="Actual units to date" prompt="The total booked so far, all periods - not just this one." type="decimal" operator="greaterThanOrEqual">
      <formula1>0</formula1>
    </dataValidation>
    <dataValidation sqref="I10:I64" showDropDown="0" showInputMessage="1" showErrorMessage="1" allowBlank="1" errorTitle="Not a quantity" error="Type a number, 0 or more." promptTitle="Remaining units" prompt="What is still to come from now on. 0 once finished." type="decimal" operator="greaterThanOrEqual">
      <formula1>0</formula1>
    </dataValidation>
    <dataValidation sqref="J10:J64" showDropDown="0" showInputMessage="1" showErrorMessage="1" allowBlank="1" errorTitle="Not a quantity" error="Type a number, 0 or more." promptTitle="Actual cost to date" prompt="The total spent so far, all periods." type="decimal" operator="greaterThanOrEqual">
      <formula1>0</formula1>
    </dataValidation>
    <dataValidation sqref="K10:K64" showDropDown="0" showInputMessage="1" showErrorMessage="1" allowBlank="1" errorTitle="Not a quantity" error="Type a number, 0 or more." promptTitle="Remaining cost" prompt="What is still to spend from now on. 0 once finished." type="decimal" operator="greaterThanOrEqual">
      <formula1>0</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548235"/>
    <outlinePr summaryBelow="1" summaryRight="1"/>
    <pageSetUpPr fitToPage="1"/>
  </sheetPr>
  <dimension ref="A1:S6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44" customWidth="1" min="3" max="3"/>
    <col width="12" customWidth="1" min="4" max="4"/>
    <col width="11" customWidth="1" min="5" max="5"/>
    <col width="11" customWidth="1" min="6" max="6"/>
    <col width="11" customWidth="1" min="7" max="7"/>
    <col width="11" customWidth="1" min="8" max="8"/>
    <col width="11" customWidth="1" min="9" max="9"/>
    <col width="12" customWidth="1" min="10" max="10"/>
    <col width="12" customWidth="1" min="11" max="11"/>
    <col width="11" customWidth="1" min="12" max="12"/>
    <col width="12" customWidth="1" min="13" max="13"/>
    <col width="10" customWidth="1" min="14" max="14"/>
    <col width="8" customWidth="1" min="15" max="15"/>
    <col width="19" customWidth="1" min="16" max="16"/>
    <col width="20" customWidth="1" min="17" max="17"/>
    <col width="48" customWidth="1" min="18" max="18"/>
    <col width="9" customWidth="1" min="19" max="19"/>
  </cols>
  <sheetData>
    <row r="1" ht="32" customHeight="1">
      <c r="A1" s="1" t="inlineStr">
        <is>
          <t>All updates</t>
        </is>
      </c>
      <c r="B1" s="3" t="n"/>
      <c r="C1" s="3" t="n"/>
      <c r="D1" s="3" t="n"/>
      <c r="E1" s="3" t="n"/>
      <c r="F1" s="3" t="n"/>
      <c r="G1" s="3" t="n"/>
      <c r="H1" s="3" t="n"/>
      <c r="I1" s="3" t="n"/>
      <c r="J1" s="3" t="n"/>
      <c r="K1" s="3" t="n"/>
      <c r="L1" s="3" t="n"/>
      <c r="M1" s="3" t="n"/>
      <c r="N1" s="3" t="n"/>
      <c r="O1" s="3" t="n"/>
      <c r="P1" s="3" t="n"/>
      <c r="Q1" s="3" t="n"/>
      <c r="R1" s="3" t="n"/>
      <c r="S1" s="3" t="n"/>
    </row>
    <row r="2" ht="22" customHeight="1">
      <c r="A2" s="4" t="inlineStr">
        <is>
          <t>SAMPLE-FITOUT   ·   data date 30 Jun 2024   ·   Whole programme   ·   every activity with what was entered, ready to key into P6</t>
        </is>
      </c>
      <c r="B2" s="3" t="n"/>
      <c r="C2" s="3" t="n"/>
      <c r="D2" s="3" t="n"/>
      <c r="E2" s="3" t="n"/>
      <c r="F2" s="3" t="n"/>
      <c r="G2" s="3" t="n"/>
      <c r="H2" s="3" t="n"/>
      <c r="I2" s="3" t="n"/>
      <c r="J2" s="3" t="n"/>
      <c r="K2" s="3" t="n"/>
      <c r="L2" s="3" t="n"/>
      <c r="M2" s="3" t="n"/>
      <c r="N2" s="3" t="n"/>
      <c r="O2" s="3" t="n"/>
      <c r="P2" s="3" t="n"/>
      <c r="Q2" s="3" t="n"/>
      <c r="R2" s="3" t="n"/>
      <c r="S2" s="3" t="n"/>
    </row>
    <row r="4" ht="32" customHeight="1">
      <c r="A4" s="41" t="inlineStr">
        <is>
          <t>Responsible Person</t>
        </is>
      </c>
      <c r="B4" s="41" t="inlineStr">
        <is>
          <t>Activity ID</t>
        </is>
      </c>
      <c r="C4" s="41" t="inlineStr">
        <is>
          <t>Activity name</t>
        </is>
      </c>
      <c r="D4" s="41" t="inlineStr">
        <is>
          <t>Status</t>
        </is>
      </c>
      <c r="E4" s="41" t="inlineStr">
        <is>
          <t>Planned start</t>
        </is>
      </c>
      <c r="F4" s="41" t="inlineStr">
        <is>
          <t>Planned finish</t>
        </is>
      </c>
      <c r="G4" s="41" t="inlineStr">
        <is>
          <t>Start</t>
        </is>
      </c>
      <c r="H4" s="41" t="inlineStr">
        <is>
          <t>Finish</t>
        </is>
      </c>
      <c r="I4" s="41" t="inlineStr">
        <is>
          <t>Physical % complete</t>
        </is>
      </c>
      <c r="J4" s="51" t="inlineStr">
        <is>
          <t>Actual start</t>
        </is>
      </c>
      <c r="K4" s="51" t="inlineStr">
        <is>
          <t>Actual finish</t>
        </is>
      </c>
      <c r="L4" s="51" t="inlineStr">
        <is>
          <t>Actual % complete</t>
        </is>
      </c>
      <c r="M4" s="51" t="inlineStr">
        <is>
          <t>Expected finish</t>
        </is>
      </c>
      <c r="N4" s="41" t="inlineStr">
        <is>
          <t>Finish moves (d)</t>
        </is>
      </c>
      <c r="O4" s="41" t="inlineStr">
        <is>
          <t>Days late</t>
        </is>
      </c>
      <c r="P4" s="41" t="inlineStr">
        <is>
          <t>Check</t>
        </is>
      </c>
      <c r="Q4" s="51" t="inlineStr">
        <is>
          <t>Delay cause</t>
        </is>
      </c>
      <c r="R4" s="51" t="inlineStr">
        <is>
          <t>Notes</t>
        </is>
      </c>
      <c r="S4" s="41" t="inlineStr">
        <is>
          <t>Updated</t>
        </is>
      </c>
    </row>
    <row r="5">
      <c r="A5" s="53" t="inlineStr">
        <is>
          <t>Dan Lowe - Design Lead</t>
        </is>
      </c>
      <c r="B5" s="53" t="str">
        <f>IF('Dan Lowe'!A11="","",'Dan Lowe'!A11)</f>
        <v>A1010</v>
      </c>
      <c r="C5" s="53" t="str">
        <f>IF('Dan Lowe'!B11="","",'Dan Lowe'!B11)</f>
        <v>Design package 01</v>
      </c>
      <c r="D5" s="54" t="str">
        <f>IF('Dan Lowe'!P11="","",'Dan Lowe'!P11)</f>
        <v>Completed</v>
      </c>
      <c r="E5" s="55">
        <f>IF('Dan Lowe'!R11="","",'Dan Lowe'!R11)</f>
        <v>45296</v>
      </c>
      <c r="F5" s="55">
        <f>IF('Dan Lowe'!Z11="","",'Dan Lowe'!Z11)</f>
        <v>45307</v>
      </c>
      <c r="G5" s="55">
        <f>IF('Dan Lowe'!C11="","",'Dan Lowe'!C11)</f>
        <v>45296</v>
      </c>
      <c r="H5" s="55">
        <f>IF('Dan Lowe'!D11="","",'Dan Lowe'!D11)</f>
        <v>45307</v>
      </c>
      <c r="I5" s="56">
        <f>IF('Dan Lowe'!F11="","",'Dan Lowe'!F11)</f>
        <v>100</v>
      </c>
      <c r="J5" s="55">
        <f>IF('Dan Lowe'!G11="","",'Dan Lowe'!G11)</f>
        <v>45296</v>
      </c>
      <c r="K5" s="55">
        <f>IF('Dan Lowe'!H11="","",'Dan Lowe'!H11)</f>
        <v>45307</v>
      </c>
      <c r="L5" s="56" t="str">
        <f>IF('Dan Lowe'!I11="","",'Dan Lowe'!I11)</f>
        <v/>
      </c>
      <c r="M5" s="55" t="str">
        <f>IF('Dan Lowe'!J11="","",'Dan Lowe'!J11)</f>
        <v/>
      </c>
      <c r="N5" s="106">
        <f>IF('Dan Lowe'!M11="","",'Dan Lowe'!M11)</f>
        <v>0</v>
      </c>
      <c r="O5" s="57">
        <f>IF('Dan Lowe'!N11="","",'Dan Lowe'!N11)</f>
        <v>0</v>
      </c>
      <c r="P5" s="54" t="str">
        <f>IF('Dan Lowe'!O11="","",'Dan Lowe'!O11)</f>
        <v>✓ Complete</v>
      </c>
      <c r="Q5" s="53" t="str">
        <f>IF('Dan Lowe'!K11="","",'Dan Lowe'!K11)</f>
        <v/>
      </c>
      <c r="R5" s="58" t="str">
        <f>IF('Dan Lowe'!L11="","",'Dan Lowe'!L11)</f>
        <v/>
      </c>
      <c r="S5" s="54" t="str">
        <f>IF('Dan Lowe'!X11=1,"Yes","")</f>
        <v/>
      </c>
    </row>
    <row r="6">
      <c r="A6" s="53" t="inlineStr">
        <is>
          <t>Dan Lowe - Design Lead</t>
        </is>
      </c>
      <c r="B6" s="53" t="str">
        <f>IF('Dan Lowe'!A12="","",'Dan Lowe'!A12)</f>
        <v>A1020</v>
      </c>
      <c r="C6" s="53" t="str">
        <f>IF('Dan Lowe'!B12="","",'Dan Lowe'!B12)</f>
        <v>Design package 02</v>
      </c>
      <c r="D6" s="54" t="str">
        <f>IF('Dan Lowe'!P12="","",'Dan Lowe'!P12)</f>
        <v>Completed</v>
      </c>
      <c r="E6" s="55">
        <f>IF('Dan Lowe'!R12="","",'Dan Lowe'!R12)</f>
        <v>45301</v>
      </c>
      <c r="F6" s="55">
        <f>IF('Dan Lowe'!Z12="","",'Dan Lowe'!Z12)</f>
        <v>45304</v>
      </c>
      <c r="G6" s="55">
        <f>IF('Dan Lowe'!C12="","",'Dan Lowe'!C12)</f>
        <v>45301</v>
      </c>
      <c r="H6" s="55">
        <f>IF('Dan Lowe'!D12="","",'Dan Lowe'!D12)</f>
        <v>45304</v>
      </c>
      <c r="I6" s="56">
        <f>IF('Dan Lowe'!F12="","",'Dan Lowe'!F12)</f>
        <v>100</v>
      </c>
      <c r="J6" s="55">
        <f>IF('Dan Lowe'!G12="","",'Dan Lowe'!G12)</f>
        <v>45301</v>
      </c>
      <c r="K6" s="55">
        <f>IF('Dan Lowe'!H12="","",'Dan Lowe'!H12)</f>
        <v>45304</v>
      </c>
      <c r="L6" s="56" t="str">
        <f>IF('Dan Lowe'!I12="","",'Dan Lowe'!I12)</f>
        <v/>
      </c>
      <c r="M6" s="55" t="str">
        <f>IF('Dan Lowe'!J12="","",'Dan Lowe'!J12)</f>
        <v/>
      </c>
      <c r="N6" s="106">
        <f>IF('Dan Lowe'!M12="","",'Dan Lowe'!M12)</f>
        <v>0</v>
      </c>
      <c r="O6" s="57">
        <f>IF('Dan Lowe'!N12="","",'Dan Lowe'!N12)</f>
        <v>0</v>
      </c>
      <c r="P6" s="54" t="str">
        <f>IF('Dan Lowe'!O12="","",'Dan Lowe'!O12)</f>
        <v>✓ Complete</v>
      </c>
      <c r="Q6" s="53" t="str">
        <f>IF('Dan Lowe'!K12="","",'Dan Lowe'!K12)</f>
        <v/>
      </c>
      <c r="R6" s="58" t="str">
        <f>IF('Dan Lowe'!L12="","",'Dan Lowe'!L12)</f>
        <v/>
      </c>
      <c r="S6" s="54" t="str">
        <f>IF('Dan Lowe'!X12=1,"Yes","")</f>
        <v/>
      </c>
    </row>
    <row r="7">
      <c r="A7" s="53" t="inlineStr">
        <is>
          <t>Dan Lowe - Design Lead</t>
        </is>
      </c>
      <c r="B7" s="53" t="str">
        <f>IF('Dan Lowe'!A13="","",'Dan Lowe'!A13)</f>
        <v>A1030</v>
      </c>
      <c r="C7" s="53" t="str">
        <f>IF('Dan Lowe'!B13="","",'Dan Lowe'!B13)</f>
        <v>Design package 03</v>
      </c>
      <c r="D7" s="54" t="str">
        <f>IF('Dan Lowe'!P13="","",'Dan Lowe'!P13)</f>
        <v>Completed</v>
      </c>
      <c r="E7" s="55">
        <f>IF('Dan Lowe'!R13="","",'Dan Lowe'!R13)</f>
        <v>45302</v>
      </c>
      <c r="F7" s="55">
        <f>IF('Dan Lowe'!Z13="","",'Dan Lowe'!Z13)</f>
        <v>45309</v>
      </c>
      <c r="G7" s="55">
        <f>IF('Dan Lowe'!C13="","",'Dan Lowe'!C13)</f>
        <v>45302</v>
      </c>
      <c r="H7" s="55">
        <f>IF('Dan Lowe'!D13="","",'Dan Lowe'!D13)</f>
        <v>45309</v>
      </c>
      <c r="I7" s="56">
        <f>IF('Dan Lowe'!F13="","",'Dan Lowe'!F13)</f>
        <v>100</v>
      </c>
      <c r="J7" s="55">
        <f>IF('Dan Lowe'!G13="","",'Dan Lowe'!G13)</f>
        <v>45302</v>
      </c>
      <c r="K7" s="55">
        <f>IF('Dan Lowe'!H13="","",'Dan Lowe'!H13)</f>
        <v>45309</v>
      </c>
      <c r="L7" s="56" t="str">
        <f>IF('Dan Lowe'!I13="","",'Dan Lowe'!I13)</f>
        <v/>
      </c>
      <c r="M7" s="55" t="str">
        <f>IF('Dan Lowe'!J13="","",'Dan Lowe'!J13)</f>
        <v/>
      </c>
      <c r="N7" s="106">
        <f>IF('Dan Lowe'!M13="","",'Dan Lowe'!M13)</f>
        <v>0</v>
      </c>
      <c r="O7" s="57">
        <f>IF('Dan Lowe'!N13="","",'Dan Lowe'!N13)</f>
        <v>0</v>
      </c>
      <c r="P7" s="54" t="str">
        <f>IF('Dan Lowe'!O13="","",'Dan Lowe'!O13)</f>
        <v>✓ Complete</v>
      </c>
      <c r="Q7" s="53" t="str">
        <f>IF('Dan Lowe'!K13="","",'Dan Lowe'!K13)</f>
        <v/>
      </c>
      <c r="R7" s="58" t="str">
        <f>IF('Dan Lowe'!L13="","",'Dan Lowe'!L13)</f>
        <v/>
      </c>
      <c r="S7" s="54" t="str">
        <f>IF('Dan Lowe'!X13=1,"Yes","")</f>
        <v/>
      </c>
    </row>
    <row r="8">
      <c r="A8" s="53" t="inlineStr">
        <is>
          <t>Dan Lowe - Design Lead</t>
        </is>
      </c>
      <c r="B8" s="53" t="str">
        <f>IF('Dan Lowe'!A14="","",'Dan Lowe'!A14)</f>
        <v>A1040</v>
      </c>
      <c r="C8" s="53" t="str">
        <f>IF('Dan Lowe'!B14="","",'Dan Lowe'!B14)</f>
        <v>Design package 04</v>
      </c>
      <c r="D8" s="54" t="str">
        <f>IF('Dan Lowe'!P14="","",'Dan Lowe'!P14)</f>
        <v>Completed</v>
      </c>
      <c r="E8" s="55">
        <f>IF('Dan Lowe'!R14="","",'Dan Lowe'!R14)</f>
        <v>45305</v>
      </c>
      <c r="F8" s="55">
        <f>IF('Dan Lowe'!Z14="","",'Dan Lowe'!Z14)</f>
        <v>45319</v>
      </c>
      <c r="G8" s="55">
        <f>IF('Dan Lowe'!C14="","",'Dan Lowe'!C14)</f>
        <v>45305</v>
      </c>
      <c r="H8" s="55">
        <f>IF('Dan Lowe'!D14="","",'Dan Lowe'!D14)</f>
        <v>45319</v>
      </c>
      <c r="I8" s="56">
        <f>IF('Dan Lowe'!F14="","",'Dan Lowe'!F14)</f>
        <v>100</v>
      </c>
      <c r="J8" s="55">
        <f>IF('Dan Lowe'!G14="","",'Dan Lowe'!G14)</f>
        <v>45305</v>
      </c>
      <c r="K8" s="55">
        <f>IF('Dan Lowe'!H14="","",'Dan Lowe'!H14)</f>
        <v>45319</v>
      </c>
      <c r="L8" s="56" t="str">
        <f>IF('Dan Lowe'!I14="","",'Dan Lowe'!I14)</f>
        <v/>
      </c>
      <c r="M8" s="55" t="str">
        <f>IF('Dan Lowe'!J14="","",'Dan Lowe'!J14)</f>
        <v/>
      </c>
      <c r="N8" s="106">
        <f>IF('Dan Lowe'!M14="","",'Dan Lowe'!M14)</f>
        <v>0</v>
      </c>
      <c r="O8" s="57">
        <f>IF('Dan Lowe'!N14="","",'Dan Lowe'!N14)</f>
        <v>0</v>
      </c>
      <c r="P8" s="54" t="str">
        <f>IF('Dan Lowe'!O14="","",'Dan Lowe'!O14)</f>
        <v>✓ Complete</v>
      </c>
      <c r="Q8" s="53" t="str">
        <f>IF('Dan Lowe'!K14="","",'Dan Lowe'!K14)</f>
        <v/>
      </c>
      <c r="R8" s="58" t="str">
        <f>IF('Dan Lowe'!L14="","",'Dan Lowe'!L14)</f>
        <v/>
      </c>
      <c r="S8" s="54" t="str">
        <f>IF('Dan Lowe'!X14=1,"Yes","")</f>
        <v/>
      </c>
    </row>
    <row r="9">
      <c r="A9" s="53" t="inlineStr">
        <is>
          <t>Dan Lowe - Design Lead</t>
        </is>
      </c>
      <c r="B9" s="53" t="str">
        <f>IF('Dan Lowe'!A15="","",'Dan Lowe'!A15)</f>
        <v>A1050</v>
      </c>
      <c r="C9" s="53" t="str">
        <f>IF('Dan Lowe'!B15="","",'Dan Lowe'!B15)</f>
        <v>Design package 05</v>
      </c>
      <c r="D9" s="54" t="str">
        <f>IF('Dan Lowe'!P15="","",'Dan Lowe'!P15)</f>
        <v>Completed</v>
      </c>
      <c r="E9" s="55">
        <f>IF('Dan Lowe'!R15="","",'Dan Lowe'!R15)</f>
        <v>45312</v>
      </c>
      <c r="F9" s="55">
        <f>IF('Dan Lowe'!Z15="","",'Dan Lowe'!Z15)</f>
        <v>45315</v>
      </c>
      <c r="G9" s="55">
        <f>IF('Dan Lowe'!C15="","",'Dan Lowe'!C15)</f>
        <v>45312</v>
      </c>
      <c r="H9" s="55">
        <f>IF('Dan Lowe'!D15="","",'Dan Lowe'!D15)</f>
        <v>45315</v>
      </c>
      <c r="I9" s="56">
        <f>IF('Dan Lowe'!F15="","",'Dan Lowe'!F15)</f>
        <v>100</v>
      </c>
      <c r="J9" s="55">
        <f>IF('Dan Lowe'!G15="","",'Dan Lowe'!G15)</f>
        <v>45312</v>
      </c>
      <c r="K9" s="55">
        <f>IF('Dan Lowe'!H15="","",'Dan Lowe'!H15)</f>
        <v>45315</v>
      </c>
      <c r="L9" s="56" t="str">
        <f>IF('Dan Lowe'!I15="","",'Dan Lowe'!I15)</f>
        <v/>
      </c>
      <c r="M9" s="55" t="str">
        <f>IF('Dan Lowe'!J15="","",'Dan Lowe'!J15)</f>
        <v/>
      </c>
      <c r="N9" s="106">
        <f>IF('Dan Lowe'!M15="","",'Dan Lowe'!M15)</f>
        <v>0</v>
      </c>
      <c r="O9" s="57">
        <f>IF('Dan Lowe'!N15="","",'Dan Lowe'!N15)</f>
        <v>0</v>
      </c>
      <c r="P9" s="54" t="str">
        <f>IF('Dan Lowe'!O15="","",'Dan Lowe'!O15)</f>
        <v>✓ Complete</v>
      </c>
      <c r="Q9" s="53" t="str">
        <f>IF('Dan Lowe'!K15="","",'Dan Lowe'!K15)</f>
        <v/>
      </c>
      <c r="R9" s="58" t="str">
        <f>IF('Dan Lowe'!L15="","",'Dan Lowe'!L15)</f>
        <v/>
      </c>
      <c r="S9" s="54" t="str">
        <f>IF('Dan Lowe'!X15=1,"Yes","")</f>
        <v/>
      </c>
    </row>
    <row r="10">
      <c r="A10" s="53" t="inlineStr">
        <is>
          <t>Dan Lowe - Design Lead</t>
        </is>
      </c>
      <c r="B10" s="53" t="str">
        <f>IF('Dan Lowe'!A16="","",'Dan Lowe'!A16)</f>
        <v>A1060</v>
      </c>
      <c r="C10" s="53" t="str">
        <f>IF('Dan Lowe'!B16="","",'Dan Lowe'!B16)</f>
        <v>Design package 06</v>
      </c>
      <c r="D10" s="54" t="str">
        <f>IF('Dan Lowe'!P16="","",'Dan Lowe'!P16)</f>
        <v>Completed</v>
      </c>
      <c r="E10" s="55">
        <f>IF('Dan Lowe'!R16="","",'Dan Lowe'!R16)</f>
        <v>45313</v>
      </c>
      <c r="F10" s="55">
        <f>IF('Dan Lowe'!Z16="","",'Dan Lowe'!Z16)</f>
        <v>45324</v>
      </c>
      <c r="G10" s="55">
        <f>IF('Dan Lowe'!C16="","",'Dan Lowe'!C16)</f>
        <v>45313</v>
      </c>
      <c r="H10" s="55">
        <f>IF('Dan Lowe'!D16="","",'Dan Lowe'!D16)</f>
        <v>45324</v>
      </c>
      <c r="I10" s="56">
        <f>IF('Dan Lowe'!F16="","",'Dan Lowe'!F16)</f>
        <v>100</v>
      </c>
      <c r="J10" s="55">
        <f>IF('Dan Lowe'!G16="","",'Dan Lowe'!G16)</f>
        <v>45313</v>
      </c>
      <c r="K10" s="55">
        <f>IF('Dan Lowe'!H16="","",'Dan Lowe'!H16)</f>
        <v>45324</v>
      </c>
      <c r="L10" s="56" t="str">
        <f>IF('Dan Lowe'!I16="","",'Dan Lowe'!I16)</f>
        <v/>
      </c>
      <c r="M10" s="55" t="str">
        <f>IF('Dan Lowe'!J16="","",'Dan Lowe'!J16)</f>
        <v/>
      </c>
      <c r="N10" s="106">
        <f>IF('Dan Lowe'!M16="","",'Dan Lowe'!M16)</f>
        <v>0</v>
      </c>
      <c r="O10" s="57">
        <f>IF('Dan Lowe'!N16="","",'Dan Lowe'!N16)</f>
        <v>0</v>
      </c>
      <c r="P10" s="54" t="str">
        <f>IF('Dan Lowe'!O16="","",'Dan Lowe'!O16)</f>
        <v>✓ Complete</v>
      </c>
      <c r="Q10" s="53" t="str">
        <f>IF('Dan Lowe'!K16="","",'Dan Lowe'!K16)</f>
        <v/>
      </c>
      <c r="R10" s="58" t="str">
        <f>IF('Dan Lowe'!L16="","",'Dan Lowe'!L16)</f>
        <v/>
      </c>
      <c r="S10" s="54" t="str">
        <f>IF('Dan Lowe'!X16=1,"Yes","")</f>
        <v/>
      </c>
    </row>
    <row r="11">
      <c r="A11" s="53" t="inlineStr">
        <is>
          <t>Dan Lowe - Design Lead</t>
        </is>
      </c>
      <c r="B11" s="53" t="str">
        <f>IF('Dan Lowe'!A17="","",'Dan Lowe'!A17)</f>
        <v>A1070</v>
      </c>
      <c r="C11" s="53" t="str">
        <f>IF('Dan Lowe'!B17="","",'Dan Lowe'!B17)</f>
        <v>Design package 07</v>
      </c>
      <c r="D11" s="54" t="str">
        <f>IF('Dan Lowe'!P17="","",'Dan Lowe'!P17)</f>
        <v>Completed</v>
      </c>
      <c r="E11" s="55">
        <f>IF('Dan Lowe'!R17="","",'Dan Lowe'!R17)</f>
        <v>45318</v>
      </c>
      <c r="F11" s="55">
        <f>IF('Dan Lowe'!Z17="","",'Dan Lowe'!Z17)</f>
        <v>45321</v>
      </c>
      <c r="G11" s="55">
        <f>IF('Dan Lowe'!C17="","",'Dan Lowe'!C17)</f>
        <v>45318</v>
      </c>
      <c r="H11" s="55">
        <f>IF('Dan Lowe'!D17="","",'Dan Lowe'!D17)</f>
        <v>45321</v>
      </c>
      <c r="I11" s="56">
        <f>IF('Dan Lowe'!F17="","",'Dan Lowe'!F17)</f>
        <v>100</v>
      </c>
      <c r="J11" s="55">
        <f>IF('Dan Lowe'!G17="","",'Dan Lowe'!G17)</f>
        <v>45318</v>
      </c>
      <c r="K11" s="55">
        <f>IF('Dan Lowe'!H17="","",'Dan Lowe'!H17)</f>
        <v>45321</v>
      </c>
      <c r="L11" s="56" t="str">
        <f>IF('Dan Lowe'!I17="","",'Dan Lowe'!I17)</f>
        <v/>
      </c>
      <c r="M11" s="55" t="str">
        <f>IF('Dan Lowe'!J17="","",'Dan Lowe'!J17)</f>
        <v/>
      </c>
      <c r="N11" s="106">
        <f>IF('Dan Lowe'!M17="","",'Dan Lowe'!M17)</f>
        <v>0</v>
      </c>
      <c r="O11" s="57">
        <f>IF('Dan Lowe'!N17="","",'Dan Lowe'!N17)</f>
        <v>0</v>
      </c>
      <c r="P11" s="54" t="str">
        <f>IF('Dan Lowe'!O17="","",'Dan Lowe'!O17)</f>
        <v>✓ Complete</v>
      </c>
      <c r="Q11" s="53" t="str">
        <f>IF('Dan Lowe'!K17="","",'Dan Lowe'!K17)</f>
        <v/>
      </c>
      <c r="R11" s="58" t="str">
        <f>IF('Dan Lowe'!L17="","",'Dan Lowe'!L17)</f>
        <v/>
      </c>
      <c r="S11" s="54" t="str">
        <f>IF('Dan Lowe'!X17=1,"Yes","")</f>
        <v/>
      </c>
    </row>
    <row r="12">
      <c r="A12" s="53" t="inlineStr">
        <is>
          <t>Dan Lowe - Design Lead</t>
        </is>
      </c>
      <c r="B12" s="53" t="str">
        <f>IF('Dan Lowe'!A18="","",'Dan Lowe'!A18)</f>
        <v>A1080</v>
      </c>
      <c r="C12" s="53" t="str">
        <f>IF('Dan Lowe'!B18="","",'Dan Lowe'!B18)</f>
        <v>Design package 08</v>
      </c>
      <c r="D12" s="54" t="str">
        <f>IF('Dan Lowe'!P18="","",'Dan Lowe'!P18)</f>
        <v>Completed</v>
      </c>
      <c r="E12" s="55">
        <f>IF('Dan Lowe'!R18="","",'Dan Lowe'!R18)</f>
        <v>45319</v>
      </c>
      <c r="F12" s="55">
        <f>IF('Dan Lowe'!Z18="","",'Dan Lowe'!Z18)</f>
        <v>45322</v>
      </c>
      <c r="G12" s="55">
        <f>IF('Dan Lowe'!C18="","",'Dan Lowe'!C18)</f>
        <v>45319</v>
      </c>
      <c r="H12" s="55">
        <f>IF('Dan Lowe'!D18="","",'Dan Lowe'!D18)</f>
        <v>45322</v>
      </c>
      <c r="I12" s="56">
        <f>IF('Dan Lowe'!F18="","",'Dan Lowe'!F18)</f>
        <v>100</v>
      </c>
      <c r="J12" s="55">
        <f>IF('Dan Lowe'!G18="","",'Dan Lowe'!G18)</f>
        <v>45319</v>
      </c>
      <c r="K12" s="55">
        <f>IF('Dan Lowe'!H18="","",'Dan Lowe'!H18)</f>
        <v>45322</v>
      </c>
      <c r="L12" s="56" t="str">
        <f>IF('Dan Lowe'!I18="","",'Dan Lowe'!I18)</f>
        <v/>
      </c>
      <c r="M12" s="55" t="str">
        <f>IF('Dan Lowe'!J18="","",'Dan Lowe'!J18)</f>
        <v/>
      </c>
      <c r="N12" s="106">
        <f>IF('Dan Lowe'!M18="","",'Dan Lowe'!M18)</f>
        <v>0</v>
      </c>
      <c r="O12" s="57">
        <f>IF('Dan Lowe'!N18="","",'Dan Lowe'!N18)</f>
        <v>0</v>
      </c>
      <c r="P12" s="54" t="str">
        <f>IF('Dan Lowe'!O18="","",'Dan Lowe'!O18)</f>
        <v>✓ Complete</v>
      </c>
      <c r="Q12" s="53" t="str">
        <f>IF('Dan Lowe'!K18="","",'Dan Lowe'!K18)</f>
        <v/>
      </c>
      <c r="R12" s="58" t="str">
        <f>IF('Dan Lowe'!L18="","",'Dan Lowe'!L18)</f>
        <v/>
      </c>
      <c r="S12" s="54" t="str">
        <f>IF('Dan Lowe'!X18=1,"Yes","")</f>
        <v/>
      </c>
    </row>
    <row r="13">
      <c r="A13" s="53" t="inlineStr">
        <is>
          <t>Dan Lowe - Design Lead</t>
        </is>
      </c>
      <c r="B13" s="53" t="str">
        <f>IF('Dan Lowe'!A19="","",'Dan Lowe'!A19)</f>
        <v>A1090</v>
      </c>
      <c r="C13" s="53" t="str">
        <f>IF('Dan Lowe'!B19="","",'Dan Lowe'!B19)</f>
        <v>Design package 09</v>
      </c>
      <c r="D13" s="54" t="str">
        <f>IF('Dan Lowe'!P19="","",'Dan Lowe'!P19)</f>
        <v>Completed</v>
      </c>
      <c r="E13" s="55">
        <f>IF('Dan Lowe'!R19="","",'Dan Lowe'!R19)</f>
        <v>45320</v>
      </c>
      <c r="F13" s="55">
        <f>IF('Dan Lowe'!Z19="","",'Dan Lowe'!Z19)</f>
        <v>45323</v>
      </c>
      <c r="G13" s="55">
        <f>IF('Dan Lowe'!C19="","",'Dan Lowe'!C19)</f>
        <v>45320</v>
      </c>
      <c r="H13" s="55">
        <f>IF('Dan Lowe'!D19="","",'Dan Lowe'!D19)</f>
        <v>45323</v>
      </c>
      <c r="I13" s="56">
        <f>IF('Dan Lowe'!F19="","",'Dan Lowe'!F19)</f>
        <v>100</v>
      </c>
      <c r="J13" s="55">
        <f>IF('Dan Lowe'!G19="","",'Dan Lowe'!G19)</f>
        <v>45320</v>
      </c>
      <c r="K13" s="55">
        <f>IF('Dan Lowe'!H19="","",'Dan Lowe'!H19)</f>
        <v>45323</v>
      </c>
      <c r="L13" s="56" t="str">
        <f>IF('Dan Lowe'!I19="","",'Dan Lowe'!I19)</f>
        <v/>
      </c>
      <c r="M13" s="55" t="str">
        <f>IF('Dan Lowe'!J19="","",'Dan Lowe'!J19)</f>
        <v/>
      </c>
      <c r="N13" s="106">
        <f>IF('Dan Lowe'!M19="","",'Dan Lowe'!M19)</f>
        <v>0</v>
      </c>
      <c r="O13" s="57">
        <f>IF('Dan Lowe'!N19="","",'Dan Lowe'!N19)</f>
        <v>0</v>
      </c>
      <c r="P13" s="54" t="str">
        <f>IF('Dan Lowe'!O19="","",'Dan Lowe'!O19)</f>
        <v>✓ Complete</v>
      </c>
      <c r="Q13" s="53" t="str">
        <f>IF('Dan Lowe'!K19="","",'Dan Lowe'!K19)</f>
        <v/>
      </c>
      <c r="R13" s="58" t="str">
        <f>IF('Dan Lowe'!L19="","",'Dan Lowe'!L19)</f>
        <v/>
      </c>
      <c r="S13" s="54" t="str">
        <f>IF('Dan Lowe'!X19=1,"Yes","")</f>
        <v/>
      </c>
    </row>
    <row r="14">
      <c r="A14" s="53" t="inlineStr">
        <is>
          <t>Dan Lowe - Design Lead</t>
        </is>
      </c>
      <c r="B14" s="53" t="str">
        <f>IF('Dan Lowe'!A20="","",'Dan Lowe'!A20)</f>
        <v>A1100</v>
      </c>
      <c r="C14" s="53" t="str">
        <f>IF('Dan Lowe'!B20="","",'Dan Lowe'!B20)</f>
        <v>Design package 10</v>
      </c>
      <c r="D14" s="54" t="str">
        <f>IF('Dan Lowe'!P20="","",'Dan Lowe'!P20)</f>
        <v>Completed</v>
      </c>
      <c r="E14" s="55">
        <f>IF('Dan Lowe'!R20="","",'Dan Lowe'!R20)</f>
        <v>45321</v>
      </c>
      <c r="F14" s="55">
        <f>IF('Dan Lowe'!Z20="","",'Dan Lowe'!Z20)</f>
        <v>45325</v>
      </c>
      <c r="G14" s="55">
        <f>IF('Dan Lowe'!C20="","",'Dan Lowe'!C20)</f>
        <v>45321</v>
      </c>
      <c r="H14" s="55">
        <f>IF('Dan Lowe'!D20="","",'Dan Lowe'!D20)</f>
        <v>45325</v>
      </c>
      <c r="I14" s="56">
        <f>IF('Dan Lowe'!F20="","",'Dan Lowe'!F20)</f>
        <v>100</v>
      </c>
      <c r="J14" s="55">
        <f>IF('Dan Lowe'!G20="","",'Dan Lowe'!G20)</f>
        <v>45321</v>
      </c>
      <c r="K14" s="55">
        <f>IF('Dan Lowe'!H20="","",'Dan Lowe'!H20)</f>
        <v>45325</v>
      </c>
      <c r="L14" s="56" t="str">
        <f>IF('Dan Lowe'!I20="","",'Dan Lowe'!I20)</f>
        <v/>
      </c>
      <c r="M14" s="55" t="str">
        <f>IF('Dan Lowe'!J20="","",'Dan Lowe'!J20)</f>
        <v/>
      </c>
      <c r="N14" s="106">
        <f>IF('Dan Lowe'!M20="","",'Dan Lowe'!M20)</f>
        <v>0</v>
      </c>
      <c r="O14" s="57">
        <f>IF('Dan Lowe'!N20="","",'Dan Lowe'!N20)</f>
        <v>0</v>
      </c>
      <c r="P14" s="54" t="str">
        <f>IF('Dan Lowe'!O20="","",'Dan Lowe'!O20)</f>
        <v>✓ Complete</v>
      </c>
      <c r="Q14" s="53" t="str">
        <f>IF('Dan Lowe'!K20="","",'Dan Lowe'!K20)</f>
        <v/>
      </c>
      <c r="R14" s="58" t="str">
        <f>IF('Dan Lowe'!L20="","",'Dan Lowe'!L20)</f>
        <v/>
      </c>
      <c r="S14" s="54" t="str">
        <f>IF('Dan Lowe'!X20=1,"Yes","")</f>
        <v/>
      </c>
    </row>
    <row r="15">
      <c r="A15" s="53" t="inlineStr">
        <is>
          <t>Dan Lowe - Design Lead</t>
        </is>
      </c>
      <c r="B15" s="53" t="str">
        <f>IF('Dan Lowe'!A21="","",'Dan Lowe'!A21)</f>
        <v>A1110</v>
      </c>
      <c r="C15" s="53" t="str">
        <f>IF('Dan Lowe'!B21="","",'Dan Lowe'!B21)</f>
        <v>Design package 11</v>
      </c>
      <c r="D15" s="54" t="str">
        <f>IF('Dan Lowe'!P21="","",'Dan Lowe'!P21)</f>
        <v>Completed</v>
      </c>
      <c r="E15" s="55">
        <f>IF('Dan Lowe'!R21="","",'Dan Lowe'!R21)</f>
        <v>45323</v>
      </c>
      <c r="F15" s="55">
        <f>IF('Dan Lowe'!Z21="","",'Dan Lowe'!Z21)</f>
        <v>45337</v>
      </c>
      <c r="G15" s="55">
        <f>IF('Dan Lowe'!C21="","",'Dan Lowe'!C21)</f>
        <v>45323</v>
      </c>
      <c r="H15" s="55">
        <f>IF('Dan Lowe'!D21="","",'Dan Lowe'!D21)</f>
        <v>45337</v>
      </c>
      <c r="I15" s="56">
        <f>IF('Dan Lowe'!F21="","",'Dan Lowe'!F21)</f>
        <v>100</v>
      </c>
      <c r="J15" s="55">
        <f>IF('Dan Lowe'!G21="","",'Dan Lowe'!G21)</f>
        <v>45323</v>
      </c>
      <c r="K15" s="55">
        <f>IF('Dan Lowe'!H21="","",'Dan Lowe'!H21)</f>
        <v>45337</v>
      </c>
      <c r="L15" s="56" t="str">
        <f>IF('Dan Lowe'!I21="","",'Dan Lowe'!I21)</f>
        <v/>
      </c>
      <c r="M15" s="55" t="str">
        <f>IF('Dan Lowe'!J21="","",'Dan Lowe'!J21)</f>
        <v/>
      </c>
      <c r="N15" s="106">
        <f>IF('Dan Lowe'!M21="","",'Dan Lowe'!M21)</f>
        <v>0</v>
      </c>
      <c r="O15" s="57">
        <f>IF('Dan Lowe'!N21="","",'Dan Lowe'!N21)</f>
        <v>0</v>
      </c>
      <c r="P15" s="54" t="str">
        <f>IF('Dan Lowe'!O21="","",'Dan Lowe'!O21)</f>
        <v>✓ Complete</v>
      </c>
      <c r="Q15" s="53" t="str">
        <f>IF('Dan Lowe'!K21="","",'Dan Lowe'!K21)</f>
        <v/>
      </c>
      <c r="R15" s="58" t="str">
        <f>IF('Dan Lowe'!L21="","",'Dan Lowe'!L21)</f>
        <v/>
      </c>
      <c r="S15" s="54" t="str">
        <f>IF('Dan Lowe'!X21=1,"Yes","")</f>
        <v/>
      </c>
    </row>
    <row r="16">
      <c r="A16" s="53" t="inlineStr">
        <is>
          <t>Dan Lowe - Design Lead</t>
        </is>
      </c>
      <c r="B16" s="53" t="str">
        <f>IF('Dan Lowe'!A22="","",'Dan Lowe'!A22)</f>
        <v>A1120</v>
      </c>
      <c r="C16" s="53" t="str">
        <f>IF('Dan Lowe'!B22="","",'Dan Lowe'!B22)</f>
        <v>Design package 12</v>
      </c>
      <c r="D16" s="54" t="str">
        <f>IF('Dan Lowe'!P22="","",'Dan Lowe'!P22)</f>
        <v>Completed</v>
      </c>
      <c r="E16" s="55">
        <f>IF('Dan Lowe'!R22="","",'Dan Lowe'!R22)</f>
        <v>45330</v>
      </c>
      <c r="F16" s="55">
        <f>IF('Dan Lowe'!Z22="","",'Dan Lowe'!Z22)</f>
        <v>45333</v>
      </c>
      <c r="G16" s="55">
        <f>IF('Dan Lowe'!C22="","",'Dan Lowe'!C22)</f>
        <v>45330</v>
      </c>
      <c r="H16" s="55">
        <f>IF('Dan Lowe'!D22="","",'Dan Lowe'!D22)</f>
        <v>45333</v>
      </c>
      <c r="I16" s="56">
        <f>IF('Dan Lowe'!F22="","",'Dan Lowe'!F22)</f>
        <v>100</v>
      </c>
      <c r="J16" s="55">
        <f>IF('Dan Lowe'!G22="","",'Dan Lowe'!G22)</f>
        <v>45330</v>
      </c>
      <c r="K16" s="55">
        <f>IF('Dan Lowe'!H22="","",'Dan Lowe'!H22)</f>
        <v>45333</v>
      </c>
      <c r="L16" s="56" t="str">
        <f>IF('Dan Lowe'!I22="","",'Dan Lowe'!I22)</f>
        <v/>
      </c>
      <c r="M16" s="55" t="str">
        <f>IF('Dan Lowe'!J22="","",'Dan Lowe'!J22)</f>
        <v/>
      </c>
      <c r="N16" s="106">
        <f>IF('Dan Lowe'!M22="","",'Dan Lowe'!M22)</f>
        <v>0</v>
      </c>
      <c r="O16" s="57">
        <f>IF('Dan Lowe'!N22="","",'Dan Lowe'!N22)</f>
        <v>0</v>
      </c>
      <c r="P16" s="54" t="str">
        <f>IF('Dan Lowe'!O22="","",'Dan Lowe'!O22)</f>
        <v>✓ Complete</v>
      </c>
      <c r="Q16" s="53" t="str">
        <f>IF('Dan Lowe'!K22="","",'Dan Lowe'!K22)</f>
        <v/>
      </c>
      <c r="R16" s="58" t="str">
        <f>IF('Dan Lowe'!L22="","",'Dan Lowe'!L22)</f>
        <v/>
      </c>
      <c r="S16" s="54" t="str">
        <f>IF('Dan Lowe'!X22=1,"Yes","")</f>
        <v/>
      </c>
    </row>
    <row r="17">
      <c r="A17" s="53" t="inlineStr">
        <is>
          <t>Dan Lowe - Design Lead</t>
        </is>
      </c>
      <c r="B17" s="53" t="str">
        <f>IF('Dan Lowe'!A23="","",'Dan Lowe'!A23)</f>
        <v>A1130</v>
      </c>
      <c r="C17" s="53" t="str">
        <f>IF('Dan Lowe'!B23="","",'Dan Lowe'!B23)</f>
        <v>Design package 13</v>
      </c>
      <c r="D17" s="54" t="str">
        <f>IF('Dan Lowe'!P23="","",'Dan Lowe'!P23)</f>
        <v>Completed</v>
      </c>
      <c r="E17" s="55">
        <f>IF('Dan Lowe'!R23="","",'Dan Lowe'!R23)</f>
        <v>45331</v>
      </c>
      <c r="F17" s="55">
        <f>IF('Dan Lowe'!Z23="","",'Dan Lowe'!Z23)</f>
        <v>45334</v>
      </c>
      <c r="G17" s="55">
        <f>IF('Dan Lowe'!C23="","",'Dan Lowe'!C23)</f>
        <v>45331</v>
      </c>
      <c r="H17" s="55">
        <f>IF('Dan Lowe'!D23="","",'Dan Lowe'!D23)</f>
        <v>45334</v>
      </c>
      <c r="I17" s="56">
        <f>IF('Dan Lowe'!F23="","",'Dan Lowe'!F23)</f>
        <v>100</v>
      </c>
      <c r="J17" s="55">
        <f>IF('Dan Lowe'!G23="","",'Dan Lowe'!G23)</f>
        <v>45331</v>
      </c>
      <c r="K17" s="55">
        <f>IF('Dan Lowe'!H23="","",'Dan Lowe'!H23)</f>
        <v>45334</v>
      </c>
      <c r="L17" s="56" t="str">
        <f>IF('Dan Lowe'!I23="","",'Dan Lowe'!I23)</f>
        <v/>
      </c>
      <c r="M17" s="55" t="str">
        <f>IF('Dan Lowe'!J23="","",'Dan Lowe'!J23)</f>
        <v/>
      </c>
      <c r="N17" s="106">
        <f>IF('Dan Lowe'!M23="","",'Dan Lowe'!M23)</f>
        <v>0</v>
      </c>
      <c r="O17" s="57">
        <f>IF('Dan Lowe'!N23="","",'Dan Lowe'!N23)</f>
        <v>0</v>
      </c>
      <c r="P17" s="54" t="str">
        <f>IF('Dan Lowe'!O23="","",'Dan Lowe'!O23)</f>
        <v>✓ Complete</v>
      </c>
      <c r="Q17" s="53" t="str">
        <f>IF('Dan Lowe'!K23="","",'Dan Lowe'!K23)</f>
        <v/>
      </c>
      <c r="R17" s="58" t="str">
        <f>IF('Dan Lowe'!L23="","",'Dan Lowe'!L23)</f>
        <v/>
      </c>
      <c r="S17" s="54" t="str">
        <f>IF('Dan Lowe'!X23=1,"Yes","")</f>
        <v/>
      </c>
    </row>
    <row r="18">
      <c r="A18" s="53" t="inlineStr">
        <is>
          <t>Dan Lowe - Design Lead</t>
        </is>
      </c>
      <c r="B18" s="53" t="str">
        <f>IF('Dan Lowe'!A24="","",'Dan Lowe'!A24)</f>
        <v>A1140</v>
      </c>
      <c r="C18" s="53" t="str">
        <f>IF('Dan Lowe'!B24="","",'Dan Lowe'!B24)</f>
        <v>Design package 14</v>
      </c>
      <c r="D18" s="54" t="str">
        <f>IF('Dan Lowe'!P24="","",'Dan Lowe'!P24)</f>
        <v>Completed</v>
      </c>
      <c r="E18" s="55">
        <f>IF('Dan Lowe'!R24="","",'Dan Lowe'!R24)</f>
        <v>45332</v>
      </c>
      <c r="F18" s="55">
        <f>IF('Dan Lowe'!Z24="","",'Dan Lowe'!Z24)</f>
        <v>45339</v>
      </c>
      <c r="G18" s="55">
        <f>IF('Dan Lowe'!C24="","",'Dan Lowe'!C24)</f>
        <v>45332</v>
      </c>
      <c r="H18" s="55">
        <f>IF('Dan Lowe'!D24="","",'Dan Lowe'!D24)</f>
        <v>45339</v>
      </c>
      <c r="I18" s="56">
        <f>IF('Dan Lowe'!F24="","",'Dan Lowe'!F24)</f>
        <v>100</v>
      </c>
      <c r="J18" s="55">
        <f>IF('Dan Lowe'!G24="","",'Dan Lowe'!G24)</f>
        <v>45332</v>
      </c>
      <c r="K18" s="55">
        <f>IF('Dan Lowe'!H24="","",'Dan Lowe'!H24)</f>
        <v>45339</v>
      </c>
      <c r="L18" s="56" t="str">
        <f>IF('Dan Lowe'!I24="","",'Dan Lowe'!I24)</f>
        <v/>
      </c>
      <c r="M18" s="55" t="str">
        <f>IF('Dan Lowe'!J24="","",'Dan Lowe'!J24)</f>
        <v/>
      </c>
      <c r="N18" s="106">
        <f>IF('Dan Lowe'!M24="","",'Dan Lowe'!M24)</f>
        <v>0</v>
      </c>
      <c r="O18" s="57">
        <f>IF('Dan Lowe'!N24="","",'Dan Lowe'!N24)</f>
        <v>0</v>
      </c>
      <c r="P18" s="54" t="str">
        <f>IF('Dan Lowe'!O24="","",'Dan Lowe'!O24)</f>
        <v>✓ Complete</v>
      </c>
      <c r="Q18" s="53" t="str">
        <f>IF('Dan Lowe'!K24="","",'Dan Lowe'!K24)</f>
        <v/>
      </c>
      <c r="R18" s="58" t="str">
        <f>IF('Dan Lowe'!L24="","",'Dan Lowe'!L24)</f>
        <v/>
      </c>
      <c r="S18" s="54" t="str">
        <f>IF('Dan Lowe'!X24=1,"Yes","")</f>
        <v/>
      </c>
    </row>
    <row r="19">
      <c r="A19" s="53" t="inlineStr">
        <is>
          <t>Dan Lowe - Design Lead</t>
        </is>
      </c>
      <c r="B19" s="53" t="str">
        <f>IF('Dan Lowe'!A25="","",'Dan Lowe'!A25)</f>
        <v>A1150</v>
      </c>
      <c r="C19" s="53" t="str">
        <f>IF('Dan Lowe'!B25="","",'Dan Lowe'!B25)</f>
        <v>Design package 15</v>
      </c>
      <c r="D19" s="54" t="str">
        <f>IF('Dan Lowe'!P25="","",'Dan Lowe'!P25)</f>
        <v>Completed</v>
      </c>
      <c r="E19" s="55">
        <f>IF('Dan Lowe'!R25="","",'Dan Lowe'!R25)</f>
        <v>45335</v>
      </c>
      <c r="F19" s="55">
        <f>IF('Dan Lowe'!Z25="","",'Dan Lowe'!Z25)</f>
        <v>45339</v>
      </c>
      <c r="G19" s="55">
        <f>IF('Dan Lowe'!C25="","",'Dan Lowe'!C25)</f>
        <v>45335</v>
      </c>
      <c r="H19" s="55">
        <f>IF('Dan Lowe'!D25="","",'Dan Lowe'!D25)</f>
        <v>45339</v>
      </c>
      <c r="I19" s="56">
        <f>IF('Dan Lowe'!F25="","",'Dan Lowe'!F25)</f>
        <v>100</v>
      </c>
      <c r="J19" s="55">
        <f>IF('Dan Lowe'!G25="","",'Dan Lowe'!G25)</f>
        <v>45335</v>
      </c>
      <c r="K19" s="55">
        <f>IF('Dan Lowe'!H25="","",'Dan Lowe'!H25)</f>
        <v>45339</v>
      </c>
      <c r="L19" s="56" t="str">
        <f>IF('Dan Lowe'!I25="","",'Dan Lowe'!I25)</f>
        <v/>
      </c>
      <c r="M19" s="55" t="str">
        <f>IF('Dan Lowe'!J25="","",'Dan Lowe'!J25)</f>
        <v/>
      </c>
      <c r="N19" s="106">
        <f>IF('Dan Lowe'!M25="","",'Dan Lowe'!M25)</f>
        <v>0</v>
      </c>
      <c r="O19" s="57">
        <f>IF('Dan Lowe'!N25="","",'Dan Lowe'!N25)</f>
        <v>0</v>
      </c>
      <c r="P19" s="54" t="str">
        <f>IF('Dan Lowe'!O25="","",'Dan Lowe'!O25)</f>
        <v>✓ Complete</v>
      </c>
      <c r="Q19" s="53" t="str">
        <f>IF('Dan Lowe'!K25="","",'Dan Lowe'!K25)</f>
        <v/>
      </c>
      <c r="R19" s="58" t="str">
        <f>IF('Dan Lowe'!L25="","",'Dan Lowe'!L25)</f>
        <v/>
      </c>
      <c r="S19" s="54" t="str">
        <f>IF('Dan Lowe'!X25=1,"Yes","")</f>
        <v/>
      </c>
    </row>
    <row r="20">
      <c r="A20" s="53" t="inlineStr">
        <is>
          <t>Dan Lowe - Design Lead</t>
        </is>
      </c>
      <c r="B20" s="53" t="str">
        <f>IF('Dan Lowe'!A26="","",'Dan Lowe'!A26)</f>
        <v>A1160</v>
      </c>
      <c r="C20" s="53" t="str">
        <f>IF('Dan Lowe'!B26="","",'Dan Lowe'!B26)</f>
        <v>Design package 16</v>
      </c>
      <c r="D20" s="54" t="str">
        <f>IF('Dan Lowe'!P26="","",'Dan Lowe'!P26)</f>
        <v>Completed</v>
      </c>
      <c r="E20" s="55">
        <f>IF('Dan Lowe'!R26="","",'Dan Lowe'!R26)</f>
        <v>45337</v>
      </c>
      <c r="F20" s="55">
        <f>IF('Dan Lowe'!Z26="","",'Dan Lowe'!Z26)</f>
        <v>45351</v>
      </c>
      <c r="G20" s="55">
        <f>IF('Dan Lowe'!C26="","",'Dan Lowe'!C26)</f>
        <v>45337</v>
      </c>
      <c r="H20" s="55">
        <f>IF('Dan Lowe'!D26="","",'Dan Lowe'!D26)</f>
        <v>45351</v>
      </c>
      <c r="I20" s="56">
        <f>IF('Dan Lowe'!F26="","",'Dan Lowe'!F26)</f>
        <v>100</v>
      </c>
      <c r="J20" s="55">
        <f>IF('Dan Lowe'!G26="","",'Dan Lowe'!G26)</f>
        <v>45337</v>
      </c>
      <c r="K20" s="55">
        <f>IF('Dan Lowe'!H26="","",'Dan Lowe'!H26)</f>
        <v>45351</v>
      </c>
      <c r="L20" s="56" t="str">
        <f>IF('Dan Lowe'!I26="","",'Dan Lowe'!I26)</f>
        <v/>
      </c>
      <c r="M20" s="55" t="str">
        <f>IF('Dan Lowe'!J26="","",'Dan Lowe'!J26)</f>
        <v/>
      </c>
      <c r="N20" s="106">
        <f>IF('Dan Lowe'!M26="","",'Dan Lowe'!M26)</f>
        <v>0</v>
      </c>
      <c r="O20" s="57">
        <f>IF('Dan Lowe'!N26="","",'Dan Lowe'!N26)</f>
        <v>0</v>
      </c>
      <c r="P20" s="54" t="str">
        <f>IF('Dan Lowe'!O26="","",'Dan Lowe'!O26)</f>
        <v>✓ Complete</v>
      </c>
      <c r="Q20" s="53" t="str">
        <f>IF('Dan Lowe'!K26="","",'Dan Lowe'!K26)</f>
        <v/>
      </c>
      <c r="R20" s="58" t="str">
        <f>IF('Dan Lowe'!L26="","",'Dan Lowe'!L26)</f>
        <v/>
      </c>
      <c r="S20" s="54" t="str">
        <f>IF('Dan Lowe'!X26=1,"Yes","")</f>
        <v/>
      </c>
    </row>
    <row r="21">
      <c r="A21" s="53" t="inlineStr">
        <is>
          <t>Dan Lowe - Design Lead</t>
        </is>
      </c>
      <c r="B21" s="53" t="str">
        <f>IF('Dan Lowe'!A27="","",'Dan Lowe'!A27)</f>
        <v>A1170</v>
      </c>
      <c r="C21" s="53" t="str">
        <f>IF('Dan Lowe'!B27="","",'Dan Lowe'!B27)</f>
        <v>Design package 17</v>
      </c>
      <c r="D21" s="54" t="str">
        <f>IF('Dan Lowe'!P27="","",'Dan Lowe'!P27)</f>
        <v>Completed</v>
      </c>
      <c r="E21" s="55">
        <f>IF('Dan Lowe'!R27="","",'Dan Lowe'!R27)</f>
        <v>45344</v>
      </c>
      <c r="F21" s="55">
        <f>IF('Dan Lowe'!Z27="","",'Dan Lowe'!Z27)</f>
        <v>45358</v>
      </c>
      <c r="G21" s="55">
        <f>IF('Dan Lowe'!C27="","",'Dan Lowe'!C27)</f>
        <v>45344</v>
      </c>
      <c r="H21" s="55">
        <f>IF('Dan Lowe'!D27="","",'Dan Lowe'!D27)</f>
        <v>45358</v>
      </c>
      <c r="I21" s="56">
        <f>IF('Dan Lowe'!F27="","",'Dan Lowe'!F27)</f>
        <v>100</v>
      </c>
      <c r="J21" s="55">
        <f>IF('Dan Lowe'!G27="","",'Dan Lowe'!G27)</f>
        <v>45344</v>
      </c>
      <c r="K21" s="55">
        <f>IF('Dan Lowe'!H27="","",'Dan Lowe'!H27)</f>
        <v>45358</v>
      </c>
      <c r="L21" s="56" t="str">
        <f>IF('Dan Lowe'!I27="","",'Dan Lowe'!I27)</f>
        <v/>
      </c>
      <c r="M21" s="55" t="str">
        <f>IF('Dan Lowe'!J27="","",'Dan Lowe'!J27)</f>
        <v/>
      </c>
      <c r="N21" s="106">
        <f>IF('Dan Lowe'!M27="","",'Dan Lowe'!M27)</f>
        <v>0</v>
      </c>
      <c r="O21" s="57">
        <f>IF('Dan Lowe'!N27="","",'Dan Lowe'!N27)</f>
        <v>0</v>
      </c>
      <c r="P21" s="54" t="str">
        <f>IF('Dan Lowe'!O27="","",'Dan Lowe'!O27)</f>
        <v>✓ Complete</v>
      </c>
      <c r="Q21" s="53" t="str">
        <f>IF('Dan Lowe'!K27="","",'Dan Lowe'!K27)</f>
        <v/>
      </c>
      <c r="R21" s="58" t="str">
        <f>IF('Dan Lowe'!L27="","",'Dan Lowe'!L27)</f>
        <v/>
      </c>
      <c r="S21" s="54" t="str">
        <f>IF('Dan Lowe'!X27=1,"Yes","")</f>
        <v/>
      </c>
    </row>
    <row r="22">
      <c r="A22" s="53" t="inlineStr">
        <is>
          <t>Dan Lowe - Design Lead</t>
        </is>
      </c>
      <c r="B22" s="53" t="str">
        <f>IF('Dan Lowe'!A28="","",'Dan Lowe'!A28)</f>
        <v>A1180</v>
      </c>
      <c r="C22" s="53" t="str">
        <f>IF('Dan Lowe'!B28="","",'Dan Lowe'!B28)</f>
        <v>Design package 18</v>
      </c>
      <c r="D22" s="54" t="str">
        <f>IF('Dan Lowe'!P28="","",'Dan Lowe'!P28)</f>
        <v>Completed</v>
      </c>
      <c r="E22" s="55">
        <f>IF('Dan Lowe'!R28="","",'Dan Lowe'!R28)</f>
        <v>45351</v>
      </c>
      <c r="F22" s="55">
        <f>IF('Dan Lowe'!Z28="","",'Dan Lowe'!Z28)</f>
        <v>45354</v>
      </c>
      <c r="G22" s="55">
        <f>IF('Dan Lowe'!C28="","",'Dan Lowe'!C28)</f>
        <v>45351</v>
      </c>
      <c r="H22" s="55">
        <f>IF('Dan Lowe'!D28="","",'Dan Lowe'!D28)</f>
        <v>45354</v>
      </c>
      <c r="I22" s="56">
        <f>IF('Dan Lowe'!F28="","",'Dan Lowe'!F28)</f>
        <v>100</v>
      </c>
      <c r="J22" s="55">
        <f>IF('Dan Lowe'!G28="","",'Dan Lowe'!G28)</f>
        <v>45351</v>
      </c>
      <c r="K22" s="55">
        <f>IF('Dan Lowe'!H28="","",'Dan Lowe'!H28)</f>
        <v>45354</v>
      </c>
      <c r="L22" s="56" t="str">
        <f>IF('Dan Lowe'!I28="","",'Dan Lowe'!I28)</f>
        <v/>
      </c>
      <c r="M22" s="55" t="str">
        <f>IF('Dan Lowe'!J28="","",'Dan Lowe'!J28)</f>
        <v/>
      </c>
      <c r="N22" s="106">
        <f>IF('Dan Lowe'!M28="","",'Dan Lowe'!M28)</f>
        <v>0</v>
      </c>
      <c r="O22" s="57">
        <f>IF('Dan Lowe'!N28="","",'Dan Lowe'!N28)</f>
        <v>0</v>
      </c>
      <c r="P22" s="54" t="str">
        <f>IF('Dan Lowe'!O28="","",'Dan Lowe'!O28)</f>
        <v>✓ Complete</v>
      </c>
      <c r="Q22" s="53" t="str">
        <f>IF('Dan Lowe'!K28="","",'Dan Lowe'!K28)</f>
        <v/>
      </c>
      <c r="R22" s="58" t="str">
        <f>IF('Dan Lowe'!L28="","",'Dan Lowe'!L28)</f>
        <v/>
      </c>
      <c r="S22" s="54" t="str">
        <f>IF('Dan Lowe'!X28=1,"Yes","")</f>
        <v/>
      </c>
    </row>
    <row r="23">
      <c r="A23" s="53" t="inlineStr">
        <is>
          <t>Dan Lowe - Design Lead</t>
        </is>
      </c>
      <c r="B23" s="53" t="str">
        <f>IF('Dan Lowe'!A29="","",'Dan Lowe'!A29)</f>
        <v>A1190</v>
      </c>
      <c r="C23" s="53" t="str">
        <f>IF('Dan Lowe'!B29="","",'Dan Lowe'!B29)</f>
        <v>Design package 19</v>
      </c>
      <c r="D23" s="54" t="str">
        <f>IF('Dan Lowe'!P29="","",'Dan Lowe'!P29)</f>
        <v>Completed</v>
      </c>
      <c r="E23" s="55">
        <f>IF('Dan Lowe'!R29="","",'Dan Lowe'!R29)</f>
        <v>45352</v>
      </c>
      <c r="F23" s="55">
        <f>IF('Dan Lowe'!Z29="","",'Dan Lowe'!Z29)</f>
        <v>45359</v>
      </c>
      <c r="G23" s="55">
        <f>IF('Dan Lowe'!C29="","",'Dan Lowe'!C29)</f>
        <v>45352</v>
      </c>
      <c r="H23" s="55">
        <f>IF('Dan Lowe'!D29="","",'Dan Lowe'!D29)</f>
        <v>45359</v>
      </c>
      <c r="I23" s="56">
        <f>IF('Dan Lowe'!F29="","",'Dan Lowe'!F29)</f>
        <v>100</v>
      </c>
      <c r="J23" s="55">
        <f>IF('Dan Lowe'!G29="","",'Dan Lowe'!G29)</f>
        <v>45352</v>
      </c>
      <c r="K23" s="55">
        <f>IF('Dan Lowe'!H29="","",'Dan Lowe'!H29)</f>
        <v>45359</v>
      </c>
      <c r="L23" s="56" t="str">
        <f>IF('Dan Lowe'!I29="","",'Dan Lowe'!I29)</f>
        <v/>
      </c>
      <c r="M23" s="55" t="str">
        <f>IF('Dan Lowe'!J29="","",'Dan Lowe'!J29)</f>
        <v/>
      </c>
      <c r="N23" s="106">
        <f>IF('Dan Lowe'!M29="","",'Dan Lowe'!M29)</f>
        <v>0</v>
      </c>
      <c r="O23" s="57">
        <f>IF('Dan Lowe'!N29="","",'Dan Lowe'!N29)</f>
        <v>0</v>
      </c>
      <c r="P23" s="54" t="str">
        <f>IF('Dan Lowe'!O29="","",'Dan Lowe'!O29)</f>
        <v>✓ Complete</v>
      </c>
      <c r="Q23" s="53" t="str">
        <f>IF('Dan Lowe'!K29="","",'Dan Lowe'!K29)</f>
        <v/>
      </c>
      <c r="R23" s="58" t="str">
        <f>IF('Dan Lowe'!L29="","",'Dan Lowe'!L29)</f>
        <v/>
      </c>
      <c r="S23" s="54" t="str">
        <f>IF('Dan Lowe'!X29=1,"Yes","")</f>
        <v/>
      </c>
    </row>
    <row r="24">
      <c r="A24" s="53" t="inlineStr">
        <is>
          <t>Priya Menon - Project Manager</t>
        </is>
      </c>
      <c r="B24" s="53" t="str">
        <f>IF('Priya Menon'!A11="","",'Priya Menon'!A11)</f>
        <v>A1000</v>
      </c>
      <c r="C24" s="53" t="str">
        <f>IF('Priya Menon'!B11="","",'Priya Menon'!B11)</f>
        <v>Design package 00</v>
      </c>
      <c r="D24" s="54" t="str">
        <f>IF('Priya Menon'!P11="","",'Priya Menon'!P11)</f>
        <v>Completed</v>
      </c>
      <c r="E24" s="55">
        <f>IF('Priya Menon'!R11="","",'Priya Menon'!R11)</f>
        <v>45293</v>
      </c>
      <c r="F24" s="55">
        <f>IF('Priya Menon'!Z11="","",'Priya Menon'!Z11)</f>
        <v>45300</v>
      </c>
      <c r="G24" s="55">
        <f>IF('Priya Menon'!C11="","",'Priya Menon'!C11)</f>
        <v>45293</v>
      </c>
      <c r="H24" s="55">
        <f>IF('Priya Menon'!D11="","",'Priya Menon'!D11)</f>
        <v>45300</v>
      </c>
      <c r="I24" s="56">
        <f>IF('Priya Menon'!F11="","",'Priya Menon'!F11)</f>
        <v>100</v>
      </c>
      <c r="J24" s="55">
        <f>IF('Priya Menon'!G11="","",'Priya Menon'!G11)</f>
        <v>45293</v>
      </c>
      <c r="K24" s="55">
        <f>IF('Priya Menon'!H11="","",'Priya Menon'!H11)</f>
        <v>45300</v>
      </c>
      <c r="L24" s="56" t="str">
        <f>IF('Priya Menon'!I11="","",'Priya Menon'!I11)</f>
        <v/>
      </c>
      <c r="M24" s="55" t="str">
        <f>IF('Priya Menon'!J11="","",'Priya Menon'!J11)</f>
        <v/>
      </c>
      <c r="N24" s="106">
        <f>IF('Priya Menon'!M11="","",'Priya Menon'!M11)</f>
        <v>0</v>
      </c>
      <c r="O24" s="57">
        <f>IF('Priya Menon'!N11="","",'Priya Menon'!N11)</f>
        <v>0</v>
      </c>
      <c r="P24" s="54" t="str">
        <f>IF('Priya Menon'!O11="","",'Priya Menon'!O11)</f>
        <v>✓ Complete</v>
      </c>
      <c r="Q24" s="53" t="str">
        <f>IF('Priya Menon'!K11="","",'Priya Menon'!K11)</f>
        <v/>
      </c>
      <c r="R24" s="58" t="str">
        <f>IF('Priya Menon'!L11="","",'Priya Menon'!L11)</f>
        <v/>
      </c>
      <c r="S24" s="54" t="str">
        <f>IF('Priya Menon'!X11=1,"Yes","")</f>
        <v/>
      </c>
    </row>
    <row r="25">
      <c r="A25" s="53" t="inlineStr">
        <is>
          <t>Priya Menon - Project Manager</t>
        </is>
      </c>
      <c r="B25" s="53" t="str">
        <f>IF('Priya Menon'!A13="","",'Priya Menon'!A13)</f>
        <v>A1590</v>
      </c>
      <c r="C25" s="53" t="str">
        <f>IF('Priya Menon'!B13="","",'Priya Menon'!B13)</f>
        <v>Build package 59</v>
      </c>
      <c r="D25" s="54" t="str">
        <f>IF('Priya Menon'!P13="","",'Priya Menon'!P13)</f>
        <v>Not Started</v>
      </c>
      <c r="E25" s="55">
        <f>IF('Priya Menon'!R13="","",'Priya Menon'!R13)</f>
        <v>45660</v>
      </c>
      <c r="F25" s="55">
        <f>IF('Priya Menon'!Z13="","",'Priya Menon'!Z13)</f>
        <v>45681</v>
      </c>
      <c r="G25" s="55">
        <f>IF('Priya Menon'!C13="","",'Priya Menon'!C13)</f>
        <v>45660</v>
      </c>
      <c r="H25" s="55">
        <f>IF('Priya Menon'!D13="","",'Priya Menon'!D13)</f>
        <v>45681</v>
      </c>
      <c r="I25" s="56">
        <f>IF('Priya Menon'!F13="","",'Priya Menon'!F13)</f>
        <v>0</v>
      </c>
      <c r="J25" s="55" t="str">
        <f>IF('Priya Menon'!G13="","",'Priya Menon'!G13)</f>
        <v/>
      </c>
      <c r="K25" s="55" t="str">
        <f>IF('Priya Menon'!H13="","",'Priya Menon'!H13)</f>
        <v/>
      </c>
      <c r="L25" s="56" t="str">
        <f>IF('Priya Menon'!I13="","",'Priya Menon'!I13)</f>
        <v/>
      </c>
      <c r="M25" s="55" t="str">
        <f>IF('Priya Menon'!J13="","",'Priya Menon'!J13)</f>
        <v/>
      </c>
      <c r="N25" s="106">
        <f>IF('Priya Menon'!M13="","",'Priya Menon'!M13)</f>
        <v>0</v>
      </c>
      <c r="O25" s="57">
        <f>IF('Priya Menon'!N13="","",'Priya Menon'!N13)</f>
        <v>0</v>
      </c>
      <c r="P25" s="54" t="str">
        <f>IF('Priya Menon'!O13="","",'Priya Menon'!O13)</f>
        <v>Not changed yet</v>
      </c>
      <c r="Q25" s="53" t="str">
        <f>IF('Priya Menon'!K13="","",'Priya Menon'!K13)</f>
        <v/>
      </c>
      <c r="R25" s="58" t="str">
        <f>IF('Priya Menon'!L13="","",'Priya Menon'!L13)</f>
        <v/>
      </c>
      <c r="S25" s="54" t="str">
        <f>IF('Priya Menon'!X13=1,"Yes","")</f>
        <v/>
      </c>
    </row>
    <row r="26">
      <c r="A26" s="53" t="inlineStr">
        <is>
          <t>Sara Moss - Site Manager</t>
        </is>
      </c>
      <c r="B26" s="53" t="str">
        <f>IF('Sara Moss'!A11="","",'Sara Moss'!A11)</f>
        <v>A1200</v>
      </c>
      <c r="C26" s="53" t="str">
        <f>IF('Sara Moss'!B11="","",'Sara Moss'!B11)</f>
        <v>Build package 20</v>
      </c>
      <c r="D26" s="54" t="str">
        <f>IF('Sara Moss'!P11="","",'Sara Moss'!P11)</f>
        <v>Completed</v>
      </c>
      <c r="E26" s="55">
        <f>IF('Sara Moss'!R11="","",'Sara Moss'!R11)</f>
        <v>45355</v>
      </c>
      <c r="F26" s="55">
        <f>IF('Sara Moss'!Z11="","",'Sara Moss'!Z11)</f>
        <v>45369</v>
      </c>
      <c r="G26" s="55">
        <f>IF('Sara Moss'!C11="","",'Sara Moss'!C11)</f>
        <v>45355</v>
      </c>
      <c r="H26" s="55">
        <f>IF('Sara Moss'!D11="","",'Sara Moss'!D11)</f>
        <v>45369</v>
      </c>
      <c r="I26" s="56">
        <f>IF('Sara Moss'!F11="","",'Sara Moss'!F11)</f>
        <v>100</v>
      </c>
      <c r="J26" s="55">
        <f>IF('Sara Moss'!G11="","",'Sara Moss'!G11)</f>
        <v>45355</v>
      </c>
      <c r="K26" s="55">
        <f>IF('Sara Moss'!H11="","",'Sara Moss'!H11)</f>
        <v>45369</v>
      </c>
      <c r="L26" s="56" t="str">
        <f>IF('Sara Moss'!I11="","",'Sara Moss'!I11)</f>
        <v/>
      </c>
      <c r="M26" s="55" t="str">
        <f>IF('Sara Moss'!J11="","",'Sara Moss'!J11)</f>
        <v/>
      </c>
      <c r="N26" s="106">
        <f>IF('Sara Moss'!M11="","",'Sara Moss'!M11)</f>
        <v>0</v>
      </c>
      <c r="O26" s="57">
        <f>IF('Sara Moss'!N11="","",'Sara Moss'!N11)</f>
        <v>0</v>
      </c>
      <c r="P26" s="54" t="str">
        <f>IF('Sara Moss'!O11="","",'Sara Moss'!O11)</f>
        <v>✓ Complete</v>
      </c>
      <c r="Q26" s="53" t="str">
        <f>IF('Sara Moss'!K11="","",'Sara Moss'!K11)</f>
        <v/>
      </c>
      <c r="R26" s="58" t="str">
        <f>IF('Sara Moss'!L11="","",'Sara Moss'!L11)</f>
        <v/>
      </c>
      <c r="S26" s="54" t="str">
        <f>IF('Sara Moss'!X11=1,"Yes","")</f>
        <v/>
      </c>
    </row>
    <row r="27">
      <c r="A27" s="53" t="inlineStr">
        <is>
          <t>Sara Moss - Site Manager</t>
        </is>
      </c>
      <c r="B27" s="53" t="str">
        <f>IF('Sara Moss'!A12="","",'Sara Moss'!A12)</f>
        <v>A1220</v>
      </c>
      <c r="C27" s="53" t="str">
        <f>IF('Sara Moss'!B12="","",'Sara Moss'!B12)</f>
        <v>Build package 22</v>
      </c>
      <c r="D27" s="54" t="str">
        <f>IF('Sara Moss'!P12="","",'Sara Moss'!P12)</f>
        <v>Completed</v>
      </c>
      <c r="E27" s="55">
        <f>IF('Sara Moss'!R12="","",'Sara Moss'!R12)</f>
        <v>45369</v>
      </c>
      <c r="F27" s="55">
        <f>IF('Sara Moss'!Z12="","",'Sara Moss'!Z12)</f>
        <v>45383</v>
      </c>
      <c r="G27" s="55">
        <f>IF('Sara Moss'!C12="","",'Sara Moss'!C12)</f>
        <v>45369</v>
      </c>
      <c r="H27" s="55">
        <f>IF('Sara Moss'!D12="","",'Sara Moss'!D12)</f>
        <v>45383</v>
      </c>
      <c r="I27" s="56">
        <f>IF('Sara Moss'!F12="","",'Sara Moss'!F12)</f>
        <v>100</v>
      </c>
      <c r="J27" s="55">
        <f>IF('Sara Moss'!G12="","",'Sara Moss'!G12)</f>
        <v>45369</v>
      </c>
      <c r="K27" s="55">
        <f>IF('Sara Moss'!H12="","",'Sara Moss'!H12)</f>
        <v>45383</v>
      </c>
      <c r="L27" s="56" t="str">
        <f>IF('Sara Moss'!I12="","",'Sara Moss'!I12)</f>
        <v/>
      </c>
      <c r="M27" s="55" t="str">
        <f>IF('Sara Moss'!J12="","",'Sara Moss'!J12)</f>
        <v/>
      </c>
      <c r="N27" s="106">
        <f>IF('Sara Moss'!M12="","",'Sara Moss'!M12)</f>
        <v>0</v>
      </c>
      <c r="O27" s="57">
        <f>IF('Sara Moss'!N12="","",'Sara Moss'!N12)</f>
        <v>0</v>
      </c>
      <c r="P27" s="54" t="str">
        <f>IF('Sara Moss'!O12="","",'Sara Moss'!O12)</f>
        <v>✓ Complete</v>
      </c>
      <c r="Q27" s="53" t="str">
        <f>IF('Sara Moss'!K12="","",'Sara Moss'!K12)</f>
        <v/>
      </c>
      <c r="R27" s="58" t="str">
        <f>IF('Sara Moss'!L12="","",'Sara Moss'!L12)</f>
        <v/>
      </c>
      <c r="S27" s="54" t="str">
        <f>IF('Sara Moss'!X12=1,"Yes","")</f>
        <v/>
      </c>
    </row>
    <row r="28">
      <c r="A28" s="53" t="inlineStr">
        <is>
          <t>Sara Moss - Site Manager</t>
        </is>
      </c>
      <c r="B28" s="53" t="str">
        <f>IF('Sara Moss'!A13="","",'Sara Moss'!A13)</f>
        <v>A1240</v>
      </c>
      <c r="C28" s="53" t="str">
        <f>IF('Sara Moss'!B13="","",'Sara Moss'!B13)</f>
        <v>Build package 24</v>
      </c>
      <c r="D28" s="54" t="str">
        <f>IF('Sara Moss'!P13="","",'Sara Moss'!P13)</f>
        <v>Completed</v>
      </c>
      <c r="E28" s="55">
        <f>IF('Sara Moss'!R13="","",'Sara Moss'!R13)</f>
        <v>45381</v>
      </c>
      <c r="F28" s="55">
        <f>IF('Sara Moss'!Z13="","",'Sara Moss'!Z13)</f>
        <v>45451</v>
      </c>
      <c r="G28" s="55">
        <f>IF('Sara Moss'!C13="","",'Sara Moss'!C13)</f>
        <v>45381</v>
      </c>
      <c r="H28" s="55">
        <f>IF('Sara Moss'!D13="","",'Sara Moss'!D13)</f>
        <v>45451</v>
      </c>
      <c r="I28" s="56">
        <f>IF('Sara Moss'!F13="","",'Sara Moss'!F13)</f>
        <v>100</v>
      </c>
      <c r="J28" s="55">
        <f>IF('Sara Moss'!G13="","",'Sara Moss'!G13)</f>
        <v>45381</v>
      </c>
      <c r="K28" s="55">
        <f>IF('Sara Moss'!H13="","",'Sara Moss'!H13)</f>
        <v>45451</v>
      </c>
      <c r="L28" s="56" t="str">
        <f>IF('Sara Moss'!I13="","",'Sara Moss'!I13)</f>
        <v/>
      </c>
      <c r="M28" s="55" t="str">
        <f>IF('Sara Moss'!J13="","",'Sara Moss'!J13)</f>
        <v/>
      </c>
      <c r="N28" s="106">
        <f>IF('Sara Moss'!M13="","",'Sara Moss'!M13)</f>
        <v>0</v>
      </c>
      <c r="O28" s="57">
        <f>IF('Sara Moss'!N13="","",'Sara Moss'!N13)</f>
        <v>0</v>
      </c>
      <c r="P28" s="54" t="str">
        <f>IF('Sara Moss'!O13="","",'Sara Moss'!O13)</f>
        <v>✓ Complete</v>
      </c>
      <c r="Q28" s="53" t="str">
        <f>IF('Sara Moss'!K13="","",'Sara Moss'!K13)</f>
        <v/>
      </c>
      <c r="R28" s="58" t="str">
        <f>IF('Sara Moss'!L13="","",'Sara Moss'!L13)</f>
        <v/>
      </c>
      <c r="S28" s="54" t="str">
        <f>IF('Sara Moss'!X13=1,"Yes","")</f>
        <v/>
      </c>
    </row>
    <row r="29">
      <c r="A29" s="53" t="inlineStr">
        <is>
          <t>Sara Moss - Site Manager</t>
        </is>
      </c>
      <c r="B29" s="53" t="str">
        <f>IF('Sara Moss'!A14="","",'Sara Moss'!A14)</f>
        <v>A1260</v>
      </c>
      <c r="C29" s="53" t="str">
        <f>IF('Sara Moss'!B14="","",'Sara Moss'!B14)</f>
        <v>Build package 26</v>
      </c>
      <c r="D29" s="54" t="str">
        <f>IF('Sara Moss'!P14="","",'Sara Moss'!P14)</f>
        <v>Completed</v>
      </c>
      <c r="E29" s="55">
        <f>IF('Sara Moss'!R14="","",'Sara Moss'!R14)</f>
        <v>45421</v>
      </c>
      <c r="F29" s="55">
        <f>IF('Sara Moss'!Z14="","",'Sara Moss'!Z14)</f>
        <v>45428</v>
      </c>
      <c r="G29" s="55">
        <f>IF('Sara Moss'!C14="","",'Sara Moss'!C14)</f>
        <v>45421</v>
      </c>
      <c r="H29" s="55">
        <f>IF('Sara Moss'!D14="","",'Sara Moss'!D14)</f>
        <v>45428</v>
      </c>
      <c r="I29" s="56">
        <f>IF('Sara Moss'!F14="","",'Sara Moss'!F14)</f>
        <v>100</v>
      </c>
      <c r="J29" s="55">
        <f>IF('Sara Moss'!G14="","",'Sara Moss'!G14)</f>
        <v>45421</v>
      </c>
      <c r="K29" s="55">
        <f>IF('Sara Moss'!H14="","",'Sara Moss'!H14)</f>
        <v>45428</v>
      </c>
      <c r="L29" s="56" t="str">
        <f>IF('Sara Moss'!I14="","",'Sara Moss'!I14)</f>
        <v/>
      </c>
      <c r="M29" s="55" t="str">
        <f>IF('Sara Moss'!J14="","",'Sara Moss'!J14)</f>
        <v/>
      </c>
      <c r="N29" s="106">
        <f>IF('Sara Moss'!M14="","",'Sara Moss'!M14)</f>
        <v>0</v>
      </c>
      <c r="O29" s="57">
        <f>IF('Sara Moss'!N14="","",'Sara Moss'!N14)</f>
        <v>0</v>
      </c>
      <c r="P29" s="54" t="str">
        <f>IF('Sara Moss'!O14="","",'Sara Moss'!O14)</f>
        <v>✓ Complete</v>
      </c>
      <c r="Q29" s="53" t="str">
        <f>IF('Sara Moss'!K14="","",'Sara Moss'!K14)</f>
        <v/>
      </c>
      <c r="R29" s="58" t="str">
        <f>IF('Sara Moss'!L14="","",'Sara Moss'!L14)</f>
        <v/>
      </c>
      <c r="S29" s="54" t="str">
        <f>IF('Sara Moss'!X14=1,"Yes","")</f>
        <v/>
      </c>
    </row>
    <row r="30">
      <c r="A30" s="53" t="inlineStr">
        <is>
          <t>Sara Moss - Site Manager</t>
        </is>
      </c>
      <c r="B30" s="53" t="str">
        <f>IF('Sara Moss'!A15="","",'Sara Moss'!A15)</f>
        <v>A1280</v>
      </c>
      <c r="C30" s="53" t="str">
        <f>IF('Sara Moss'!B15="","",'Sara Moss'!B15)</f>
        <v>Build package 28</v>
      </c>
      <c r="D30" s="54" t="str">
        <f>IF('Sara Moss'!P15="","",'Sara Moss'!P15)</f>
        <v>Completed</v>
      </c>
      <c r="E30" s="55">
        <f>IF('Sara Moss'!R15="","",'Sara Moss'!R15)</f>
        <v>45426</v>
      </c>
      <c r="F30" s="55">
        <f>IF('Sara Moss'!Z15="","",'Sara Moss'!Z15)</f>
        <v>45447</v>
      </c>
      <c r="G30" s="55">
        <f>IF('Sara Moss'!C15="","",'Sara Moss'!C15)</f>
        <v>45426</v>
      </c>
      <c r="H30" s="55">
        <f>IF('Sara Moss'!D15="","",'Sara Moss'!D15)</f>
        <v>45447</v>
      </c>
      <c r="I30" s="56">
        <f>IF('Sara Moss'!F15="","",'Sara Moss'!F15)</f>
        <v>100</v>
      </c>
      <c r="J30" s="55">
        <f>IF('Sara Moss'!G15="","",'Sara Moss'!G15)</f>
        <v>45426</v>
      </c>
      <c r="K30" s="55">
        <f>IF('Sara Moss'!H15="","",'Sara Moss'!H15)</f>
        <v>45447</v>
      </c>
      <c r="L30" s="56" t="str">
        <f>IF('Sara Moss'!I15="","",'Sara Moss'!I15)</f>
        <v/>
      </c>
      <c r="M30" s="55" t="str">
        <f>IF('Sara Moss'!J15="","",'Sara Moss'!J15)</f>
        <v/>
      </c>
      <c r="N30" s="106">
        <f>IF('Sara Moss'!M15="","",'Sara Moss'!M15)</f>
        <v>0</v>
      </c>
      <c r="O30" s="57">
        <f>IF('Sara Moss'!N15="","",'Sara Moss'!N15)</f>
        <v>0</v>
      </c>
      <c r="P30" s="54" t="str">
        <f>IF('Sara Moss'!O15="","",'Sara Moss'!O15)</f>
        <v>✓ Complete</v>
      </c>
      <c r="Q30" s="53" t="str">
        <f>IF('Sara Moss'!K15="","",'Sara Moss'!K15)</f>
        <v/>
      </c>
      <c r="R30" s="58" t="str">
        <f>IF('Sara Moss'!L15="","",'Sara Moss'!L15)</f>
        <v/>
      </c>
      <c r="S30" s="54" t="str">
        <f>IF('Sara Moss'!X15=1,"Yes","")</f>
        <v/>
      </c>
    </row>
    <row r="31">
      <c r="A31" s="53" t="inlineStr">
        <is>
          <t>Sara Moss - Site Manager</t>
        </is>
      </c>
      <c r="B31" s="53" t="str">
        <f>IF('Sara Moss'!A16="","",'Sara Moss'!A16)</f>
        <v>A1300</v>
      </c>
      <c r="C31" s="53" t="str">
        <f>IF('Sara Moss'!B16="","",'Sara Moss'!B16)</f>
        <v>Build package 30</v>
      </c>
      <c r="D31" s="54" t="str">
        <f>IF('Sara Moss'!P16="","",'Sara Moss'!P16)</f>
        <v>Completed</v>
      </c>
      <c r="E31" s="55">
        <f>IF('Sara Moss'!R16="","",'Sara Moss'!R16)</f>
        <v>45437</v>
      </c>
      <c r="F31" s="55">
        <f>IF('Sara Moss'!Z16="","",'Sara Moss'!Z16)</f>
        <v>45451</v>
      </c>
      <c r="G31" s="55">
        <f>IF('Sara Moss'!C16="","",'Sara Moss'!C16)</f>
        <v>45437</v>
      </c>
      <c r="H31" s="55">
        <f>IF('Sara Moss'!D16="","",'Sara Moss'!D16)</f>
        <v>45451</v>
      </c>
      <c r="I31" s="56">
        <f>IF('Sara Moss'!F16="","",'Sara Moss'!F16)</f>
        <v>100</v>
      </c>
      <c r="J31" s="55">
        <f>IF('Sara Moss'!G16="","",'Sara Moss'!G16)</f>
        <v>45437</v>
      </c>
      <c r="K31" s="55">
        <f>IF('Sara Moss'!H16="","",'Sara Moss'!H16)</f>
        <v>45451</v>
      </c>
      <c r="L31" s="56" t="str">
        <f>IF('Sara Moss'!I16="","",'Sara Moss'!I16)</f>
        <v/>
      </c>
      <c r="M31" s="55" t="str">
        <f>IF('Sara Moss'!J16="","",'Sara Moss'!J16)</f>
        <v/>
      </c>
      <c r="N31" s="106">
        <f>IF('Sara Moss'!M16="","",'Sara Moss'!M16)</f>
        <v>0</v>
      </c>
      <c r="O31" s="57">
        <f>IF('Sara Moss'!N16="","",'Sara Moss'!N16)</f>
        <v>0</v>
      </c>
      <c r="P31" s="54" t="str">
        <f>IF('Sara Moss'!O16="","",'Sara Moss'!O16)</f>
        <v>✓ Complete</v>
      </c>
      <c r="Q31" s="53" t="str">
        <f>IF('Sara Moss'!K16="","",'Sara Moss'!K16)</f>
        <v/>
      </c>
      <c r="R31" s="58" t="str">
        <f>IF('Sara Moss'!L16="","",'Sara Moss'!L16)</f>
        <v/>
      </c>
      <c r="S31" s="54" t="str">
        <f>IF('Sara Moss'!X16=1,"Yes","")</f>
        <v/>
      </c>
    </row>
    <row r="32">
      <c r="A32" s="53" t="inlineStr">
        <is>
          <t>Sara Moss - Site Manager</t>
        </is>
      </c>
      <c r="B32" s="53" t="str">
        <f>IF('Sara Moss'!A17="","",'Sara Moss'!A17)</f>
        <v>A1320</v>
      </c>
      <c r="C32" s="53" t="str">
        <f>IF('Sara Moss'!B17="","",'Sara Moss'!B17)</f>
        <v>Build package 32</v>
      </c>
      <c r="D32" s="54" t="str">
        <f>IF('Sara Moss'!P17="","",'Sara Moss'!P17)</f>
        <v>In Progress</v>
      </c>
      <c r="E32" s="55">
        <f>IF('Sara Moss'!R17="","",'Sara Moss'!R17)</f>
        <v>45447</v>
      </c>
      <c r="F32" s="55">
        <f>IF('Sara Moss'!Z17="","",'Sara Moss'!Z17)</f>
        <v>45454</v>
      </c>
      <c r="G32" s="55">
        <f>IF('Sara Moss'!C17="","",'Sara Moss'!C17)</f>
        <v>45447</v>
      </c>
      <c r="H32" s="55">
        <f>IF('Sara Moss'!D17="","",'Sara Moss'!D17)</f>
        <v>45454</v>
      </c>
      <c r="I32" s="56">
        <f>IF('Sara Moss'!F17="","",'Sara Moss'!F17)</f>
        <v>80</v>
      </c>
      <c r="J32" s="55">
        <f>IF('Sara Moss'!G17="","",'Sara Moss'!G17)</f>
        <v>45447</v>
      </c>
      <c r="K32" s="55" t="str">
        <f>IF('Sara Moss'!H17="","",'Sara Moss'!H17)</f>
        <v/>
      </c>
      <c r="L32" s="56" t="str">
        <f>IF('Sara Moss'!I17="","",'Sara Moss'!I17)</f>
        <v/>
      </c>
      <c r="M32" s="55" t="str">
        <f>IF('Sara Moss'!J17="","",'Sara Moss'!J17)</f>
        <v/>
      </c>
      <c r="N32" s="106">
        <f>IF('Sara Moss'!M17="","",'Sara Moss'!M17)</f>
        <v>0</v>
      </c>
      <c r="O32" s="57">
        <f>IF('Sara Moss'!N17="","",'Sara Moss'!N17)</f>
        <v>0</v>
      </c>
      <c r="P32" s="54" t="str">
        <f>IF('Sara Moss'!O17="","",'Sara Moss'!O17)</f>
        <v>Finish date needed</v>
      </c>
      <c r="Q32" s="53" t="str">
        <f>IF('Sara Moss'!K17="","",'Sara Moss'!K17)</f>
        <v/>
      </c>
      <c r="R32" s="58" t="str">
        <f>IF('Sara Moss'!L17="","",'Sara Moss'!L17)</f>
        <v/>
      </c>
      <c r="S32" s="54" t="str">
        <f>IF('Sara Moss'!X17=1,"Yes","")</f>
        <v/>
      </c>
    </row>
    <row r="33">
      <c r="A33" s="53" t="inlineStr">
        <is>
          <t>Sara Moss - Site Manager</t>
        </is>
      </c>
      <c r="B33" s="53" t="str">
        <f>IF('Sara Moss'!A18="","",'Sara Moss'!A18)</f>
        <v>A1340</v>
      </c>
      <c r="C33" s="53" t="str">
        <f>IF('Sara Moss'!B18="","",'Sara Moss'!B18)</f>
        <v>Build package 34</v>
      </c>
      <c r="D33" s="54" t="str">
        <f>IF('Sara Moss'!P18="","",'Sara Moss'!P18)</f>
        <v>In Progress</v>
      </c>
      <c r="E33" s="55">
        <f>IF('Sara Moss'!R18="","",'Sara Moss'!R18)</f>
        <v>45451</v>
      </c>
      <c r="F33" s="55">
        <f>IF('Sara Moss'!Z18="","",'Sara Moss'!Z18)</f>
        <v>45455</v>
      </c>
      <c r="G33" s="55">
        <f>IF('Sara Moss'!C18="","",'Sara Moss'!C18)</f>
        <v>45451</v>
      </c>
      <c r="H33" s="55">
        <f>IF('Sara Moss'!D18="","",'Sara Moss'!D18)</f>
        <v>45455</v>
      </c>
      <c r="I33" s="56">
        <f>IF('Sara Moss'!F18="","",'Sara Moss'!F18)</f>
        <v>40</v>
      </c>
      <c r="J33" s="55">
        <f>IF('Sara Moss'!G18="","",'Sara Moss'!G18)</f>
        <v>45451</v>
      </c>
      <c r="K33" s="55" t="str">
        <f>IF('Sara Moss'!H18="","",'Sara Moss'!H18)</f>
        <v/>
      </c>
      <c r="L33" s="56" t="str">
        <f>IF('Sara Moss'!I18="","",'Sara Moss'!I18)</f>
        <v/>
      </c>
      <c r="M33" s="55" t="str">
        <f>IF('Sara Moss'!J18="","",'Sara Moss'!J18)</f>
        <v/>
      </c>
      <c r="N33" s="106">
        <f>IF('Sara Moss'!M18="","",'Sara Moss'!M18)</f>
        <v>0</v>
      </c>
      <c r="O33" s="57">
        <f>IF('Sara Moss'!N18="","",'Sara Moss'!N18)</f>
        <v>0</v>
      </c>
      <c r="P33" s="54" t="str">
        <f>IF('Sara Moss'!O18="","",'Sara Moss'!O18)</f>
        <v>Finish date needed</v>
      </c>
      <c r="Q33" s="53" t="str">
        <f>IF('Sara Moss'!K18="","",'Sara Moss'!K18)</f>
        <v/>
      </c>
      <c r="R33" s="58" t="str">
        <f>IF('Sara Moss'!L18="","",'Sara Moss'!L18)</f>
        <v/>
      </c>
      <c r="S33" s="54" t="str">
        <f>IF('Sara Moss'!X18=1,"Yes","")</f>
        <v/>
      </c>
    </row>
    <row r="34">
      <c r="A34" s="53" t="inlineStr">
        <is>
          <t>Sara Moss - Site Manager</t>
        </is>
      </c>
      <c r="B34" s="53" t="str">
        <f>IF('Sara Moss'!A19="","",'Sara Moss'!A19)</f>
        <v>A1360</v>
      </c>
      <c r="C34" s="53" t="str">
        <f>IF('Sara Moss'!B19="","",'Sara Moss'!B19)</f>
        <v>Build package 36</v>
      </c>
      <c r="D34" s="54" t="str">
        <f>IF('Sara Moss'!P19="","",'Sara Moss'!P19)</f>
        <v>In Progress</v>
      </c>
      <c r="E34" s="55">
        <f>IF('Sara Moss'!R19="","",'Sara Moss'!R19)</f>
        <v>45458</v>
      </c>
      <c r="F34" s="55">
        <f>IF('Sara Moss'!Z19="","",'Sara Moss'!Z19)</f>
        <v>45479</v>
      </c>
      <c r="G34" s="55">
        <f>IF('Sara Moss'!C19="","",'Sara Moss'!C19)</f>
        <v>45458</v>
      </c>
      <c r="H34" s="55">
        <f>IF('Sara Moss'!D19="","",'Sara Moss'!D19)</f>
        <v>45479</v>
      </c>
      <c r="I34" s="56">
        <f>IF('Sara Moss'!F19="","",'Sara Moss'!F19)</f>
        <v>10</v>
      </c>
      <c r="J34" s="55">
        <f>IF('Sara Moss'!G19="","",'Sara Moss'!G19)</f>
        <v>45458</v>
      </c>
      <c r="K34" s="55" t="str">
        <f>IF('Sara Moss'!H19="","",'Sara Moss'!H19)</f>
        <v/>
      </c>
      <c r="L34" s="56" t="str">
        <f>IF('Sara Moss'!I19="","",'Sara Moss'!I19)</f>
        <v/>
      </c>
      <c r="M34" s="55" t="str">
        <f>IF('Sara Moss'!J19="","",'Sara Moss'!J19)</f>
        <v/>
      </c>
      <c r="N34" s="106">
        <f>IF('Sara Moss'!M19="","",'Sara Moss'!M19)</f>
        <v>0</v>
      </c>
      <c r="O34" s="57">
        <f>IF('Sara Moss'!N19="","",'Sara Moss'!N19)</f>
        <v>0</v>
      </c>
      <c r="P34" s="54" t="str">
        <f>IF('Sara Moss'!O19="","",'Sara Moss'!O19)</f>
        <v>Not changed yet</v>
      </c>
      <c r="Q34" s="53" t="str">
        <f>IF('Sara Moss'!K19="","",'Sara Moss'!K19)</f>
        <v/>
      </c>
      <c r="R34" s="58" t="str">
        <f>IF('Sara Moss'!L19="","",'Sara Moss'!L19)</f>
        <v/>
      </c>
      <c r="S34" s="54" t="str">
        <f>IF('Sara Moss'!X19=1,"Yes","")</f>
        <v/>
      </c>
    </row>
    <row r="35">
      <c r="A35" s="53" t="inlineStr">
        <is>
          <t>Sara Moss - Site Manager</t>
        </is>
      </c>
      <c r="B35" s="53" t="str">
        <f>IF('Sara Moss'!A20="","",'Sara Moss'!A20)</f>
        <v>A1380</v>
      </c>
      <c r="C35" s="53" t="str">
        <f>IF('Sara Moss'!B20="","",'Sara Moss'!B20)</f>
        <v>Build package 38</v>
      </c>
      <c r="D35" s="54" t="str">
        <f>IF('Sara Moss'!P20="","",'Sara Moss'!P20)</f>
        <v>In Progress</v>
      </c>
      <c r="E35" s="55">
        <f>IF('Sara Moss'!R20="","",'Sara Moss'!R20)</f>
        <v>45471</v>
      </c>
      <c r="F35" s="55">
        <f>IF('Sara Moss'!Z20="","",'Sara Moss'!Z20)</f>
        <v>45485</v>
      </c>
      <c r="G35" s="55">
        <f>IF('Sara Moss'!C20="","",'Sara Moss'!C20)</f>
        <v>45471</v>
      </c>
      <c r="H35" s="55">
        <f>IF('Sara Moss'!D20="","",'Sara Moss'!D20)</f>
        <v>45485</v>
      </c>
      <c r="I35" s="56">
        <f>IF('Sara Moss'!F20="","",'Sara Moss'!F20)</f>
        <v>60</v>
      </c>
      <c r="J35" s="55">
        <f>IF('Sara Moss'!G20="","",'Sara Moss'!G20)</f>
        <v>45471</v>
      </c>
      <c r="K35" s="55" t="str">
        <f>IF('Sara Moss'!H20="","",'Sara Moss'!H20)</f>
        <v/>
      </c>
      <c r="L35" s="56" t="str">
        <f>IF('Sara Moss'!I20="","",'Sara Moss'!I20)</f>
        <v/>
      </c>
      <c r="M35" s="55" t="str">
        <f>IF('Sara Moss'!J20="","",'Sara Moss'!J20)</f>
        <v/>
      </c>
      <c r="N35" s="106">
        <f>IF('Sara Moss'!M20="","",'Sara Moss'!M20)</f>
        <v>0</v>
      </c>
      <c r="O35" s="57">
        <f>IF('Sara Moss'!N20="","",'Sara Moss'!N20)</f>
        <v>0</v>
      </c>
      <c r="P35" s="54" t="str">
        <f>IF('Sara Moss'!O20="","",'Sara Moss'!O20)</f>
        <v>Not changed yet</v>
      </c>
      <c r="Q35" s="53" t="str">
        <f>IF('Sara Moss'!K20="","",'Sara Moss'!K20)</f>
        <v/>
      </c>
      <c r="R35" s="58" t="str">
        <f>IF('Sara Moss'!L20="","",'Sara Moss'!L20)</f>
        <v/>
      </c>
      <c r="S35" s="54" t="str">
        <f>IF('Sara Moss'!X20=1,"Yes","")</f>
        <v/>
      </c>
    </row>
    <row r="36">
      <c r="A36" s="53" t="inlineStr">
        <is>
          <t>Sara Moss - Site Manager</t>
        </is>
      </c>
      <c r="B36" s="53" t="str">
        <f>IF('Sara Moss'!A21="","",'Sara Moss'!A21)</f>
        <v>A1400</v>
      </c>
      <c r="C36" s="53" t="str">
        <f>IF('Sara Moss'!B21="","",'Sara Moss'!B21)</f>
        <v>Build package 40</v>
      </c>
      <c r="D36" s="54" t="str">
        <f>IF('Sara Moss'!P21="","",'Sara Moss'!P21)</f>
        <v>Not Started</v>
      </c>
      <c r="E36" s="55">
        <f>IF('Sara Moss'!R21="","",'Sara Moss'!R21)</f>
        <v>45513</v>
      </c>
      <c r="F36" s="55">
        <f>IF('Sara Moss'!Z21="","",'Sara Moss'!Z21)</f>
        <v>45520</v>
      </c>
      <c r="G36" s="55">
        <f>IF('Sara Moss'!C21="","",'Sara Moss'!C21)</f>
        <v>45513</v>
      </c>
      <c r="H36" s="55">
        <f>IF('Sara Moss'!D21="","",'Sara Moss'!D21)</f>
        <v>45520</v>
      </c>
      <c r="I36" s="56">
        <f>IF('Sara Moss'!F21="","",'Sara Moss'!F21)</f>
        <v>0</v>
      </c>
      <c r="J36" s="55" t="str">
        <f>IF('Sara Moss'!G21="","",'Sara Moss'!G21)</f>
        <v/>
      </c>
      <c r="K36" s="55" t="str">
        <f>IF('Sara Moss'!H21="","",'Sara Moss'!H21)</f>
        <v/>
      </c>
      <c r="L36" s="56" t="str">
        <f>IF('Sara Moss'!I21="","",'Sara Moss'!I21)</f>
        <v/>
      </c>
      <c r="M36" s="55" t="str">
        <f>IF('Sara Moss'!J21="","",'Sara Moss'!J21)</f>
        <v/>
      </c>
      <c r="N36" s="106">
        <f>IF('Sara Moss'!M21="","",'Sara Moss'!M21)</f>
        <v>0</v>
      </c>
      <c r="O36" s="57">
        <f>IF('Sara Moss'!N21="","",'Sara Moss'!N21)</f>
        <v>0</v>
      </c>
      <c r="P36" s="54" t="str">
        <f>IF('Sara Moss'!O21="","",'Sara Moss'!O21)</f>
        <v>Not changed yet</v>
      </c>
      <c r="Q36" s="53" t="str">
        <f>IF('Sara Moss'!K21="","",'Sara Moss'!K21)</f>
        <v/>
      </c>
      <c r="R36" s="58" t="str">
        <f>IF('Sara Moss'!L21="","",'Sara Moss'!L21)</f>
        <v/>
      </c>
      <c r="S36" s="54" t="str">
        <f>IF('Sara Moss'!X21=1,"Yes","")</f>
        <v/>
      </c>
    </row>
    <row r="37">
      <c r="A37" s="53" t="inlineStr">
        <is>
          <t>Sara Moss - Site Manager</t>
        </is>
      </c>
      <c r="B37" s="53" t="str">
        <f>IF('Sara Moss'!A22="","",'Sara Moss'!A22)</f>
        <v>A1420</v>
      </c>
      <c r="C37" s="53" t="str">
        <f>IF('Sara Moss'!B22="","",'Sara Moss'!B22)</f>
        <v>Build package 42</v>
      </c>
      <c r="D37" s="54" t="str">
        <f>IF('Sara Moss'!P22="","",'Sara Moss'!P22)</f>
        <v>Not Started</v>
      </c>
      <c r="E37" s="55">
        <f>IF('Sara Moss'!R22="","",'Sara Moss'!R22)</f>
        <v>45526</v>
      </c>
      <c r="F37" s="55">
        <f>IF('Sara Moss'!Z22="","",'Sara Moss'!Z22)</f>
        <v>45529</v>
      </c>
      <c r="G37" s="55">
        <f>IF('Sara Moss'!C22="","",'Sara Moss'!C22)</f>
        <v>45526</v>
      </c>
      <c r="H37" s="55">
        <f>IF('Sara Moss'!D22="","",'Sara Moss'!D22)</f>
        <v>45529</v>
      </c>
      <c r="I37" s="56">
        <f>IF('Sara Moss'!F22="","",'Sara Moss'!F22)</f>
        <v>0</v>
      </c>
      <c r="J37" s="55" t="str">
        <f>IF('Sara Moss'!G22="","",'Sara Moss'!G22)</f>
        <v/>
      </c>
      <c r="K37" s="55" t="str">
        <f>IF('Sara Moss'!H22="","",'Sara Moss'!H22)</f>
        <v/>
      </c>
      <c r="L37" s="56" t="str">
        <f>IF('Sara Moss'!I22="","",'Sara Moss'!I22)</f>
        <v/>
      </c>
      <c r="M37" s="55" t="str">
        <f>IF('Sara Moss'!J22="","",'Sara Moss'!J22)</f>
        <v/>
      </c>
      <c r="N37" s="106">
        <f>IF('Sara Moss'!M22="","",'Sara Moss'!M22)</f>
        <v>0</v>
      </c>
      <c r="O37" s="57">
        <f>IF('Sara Moss'!N22="","",'Sara Moss'!N22)</f>
        <v>0</v>
      </c>
      <c r="P37" s="54" t="str">
        <f>IF('Sara Moss'!O22="","",'Sara Moss'!O22)</f>
        <v>Not changed yet</v>
      </c>
      <c r="Q37" s="53" t="str">
        <f>IF('Sara Moss'!K22="","",'Sara Moss'!K22)</f>
        <v/>
      </c>
      <c r="R37" s="58" t="str">
        <f>IF('Sara Moss'!L22="","",'Sara Moss'!L22)</f>
        <v/>
      </c>
      <c r="S37" s="54" t="str">
        <f>IF('Sara Moss'!X22=1,"Yes","")</f>
        <v/>
      </c>
    </row>
    <row r="38">
      <c r="A38" s="53" t="inlineStr">
        <is>
          <t>Sara Moss - Site Manager</t>
        </is>
      </c>
      <c r="B38" s="53" t="str">
        <f>IF('Sara Moss'!A23="","",'Sara Moss'!A23)</f>
        <v>A1440</v>
      </c>
      <c r="C38" s="53" t="str">
        <f>IF('Sara Moss'!B23="","",'Sara Moss'!B23)</f>
        <v>Build package 44</v>
      </c>
      <c r="D38" s="54" t="str">
        <f>IF('Sara Moss'!P23="","",'Sara Moss'!P23)</f>
        <v>Not Started</v>
      </c>
      <c r="E38" s="55">
        <f>IF('Sara Moss'!R23="","",'Sara Moss'!R23)</f>
        <v>45537</v>
      </c>
      <c r="F38" s="55">
        <f>IF('Sara Moss'!Z23="","",'Sara Moss'!Z23)</f>
        <v>45544</v>
      </c>
      <c r="G38" s="55">
        <f>IF('Sara Moss'!C23="","",'Sara Moss'!C23)</f>
        <v>45537</v>
      </c>
      <c r="H38" s="55">
        <f>IF('Sara Moss'!D23="","",'Sara Moss'!D23)</f>
        <v>45544</v>
      </c>
      <c r="I38" s="56">
        <f>IF('Sara Moss'!F23="","",'Sara Moss'!F23)</f>
        <v>0</v>
      </c>
      <c r="J38" s="55" t="str">
        <f>IF('Sara Moss'!G23="","",'Sara Moss'!G23)</f>
        <v/>
      </c>
      <c r="K38" s="55" t="str">
        <f>IF('Sara Moss'!H23="","",'Sara Moss'!H23)</f>
        <v/>
      </c>
      <c r="L38" s="56" t="str">
        <f>IF('Sara Moss'!I23="","",'Sara Moss'!I23)</f>
        <v/>
      </c>
      <c r="M38" s="55" t="str">
        <f>IF('Sara Moss'!J23="","",'Sara Moss'!J23)</f>
        <v/>
      </c>
      <c r="N38" s="106">
        <f>IF('Sara Moss'!M23="","",'Sara Moss'!M23)</f>
        <v>0</v>
      </c>
      <c r="O38" s="57">
        <f>IF('Sara Moss'!N23="","",'Sara Moss'!N23)</f>
        <v>0</v>
      </c>
      <c r="P38" s="54" t="str">
        <f>IF('Sara Moss'!O23="","",'Sara Moss'!O23)</f>
        <v>Not changed yet</v>
      </c>
      <c r="Q38" s="53" t="str">
        <f>IF('Sara Moss'!K23="","",'Sara Moss'!K23)</f>
        <v/>
      </c>
      <c r="R38" s="58" t="str">
        <f>IF('Sara Moss'!L23="","",'Sara Moss'!L23)</f>
        <v/>
      </c>
      <c r="S38" s="54" t="str">
        <f>IF('Sara Moss'!X23=1,"Yes","")</f>
        <v/>
      </c>
    </row>
    <row r="39">
      <c r="A39" s="53" t="inlineStr">
        <is>
          <t>Sara Moss - Site Manager</t>
        </is>
      </c>
      <c r="B39" s="53" t="str">
        <f>IF('Sara Moss'!A24="","",'Sara Moss'!A24)</f>
        <v>A1460</v>
      </c>
      <c r="C39" s="53" t="str">
        <f>IF('Sara Moss'!B24="","",'Sara Moss'!B24)</f>
        <v>Build package 46</v>
      </c>
      <c r="D39" s="54" t="str">
        <f>IF('Sara Moss'!P24="","",'Sara Moss'!P24)</f>
        <v>Not Started</v>
      </c>
      <c r="E39" s="55">
        <f>IF('Sara Moss'!R24="","",'Sara Moss'!R24)</f>
        <v>45550</v>
      </c>
      <c r="F39" s="55">
        <f>IF('Sara Moss'!Z24="","",'Sara Moss'!Z24)</f>
        <v>45553</v>
      </c>
      <c r="G39" s="55">
        <f>IF('Sara Moss'!C24="","",'Sara Moss'!C24)</f>
        <v>45550</v>
      </c>
      <c r="H39" s="55">
        <f>IF('Sara Moss'!D24="","",'Sara Moss'!D24)</f>
        <v>45553</v>
      </c>
      <c r="I39" s="56">
        <f>IF('Sara Moss'!F24="","",'Sara Moss'!F24)</f>
        <v>0</v>
      </c>
      <c r="J39" s="55" t="str">
        <f>IF('Sara Moss'!G24="","",'Sara Moss'!G24)</f>
        <v/>
      </c>
      <c r="K39" s="55" t="str">
        <f>IF('Sara Moss'!H24="","",'Sara Moss'!H24)</f>
        <v/>
      </c>
      <c r="L39" s="56" t="str">
        <f>IF('Sara Moss'!I24="","",'Sara Moss'!I24)</f>
        <v/>
      </c>
      <c r="M39" s="55" t="str">
        <f>IF('Sara Moss'!J24="","",'Sara Moss'!J24)</f>
        <v/>
      </c>
      <c r="N39" s="106">
        <f>IF('Sara Moss'!M24="","",'Sara Moss'!M24)</f>
        <v>0</v>
      </c>
      <c r="O39" s="57">
        <f>IF('Sara Moss'!N24="","",'Sara Moss'!N24)</f>
        <v>0</v>
      </c>
      <c r="P39" s="54" t="str">
        <f>IF('Sara Moss'!O24="","",'Sara Moss'!O24)</f>
        <v>Not changed yet</v>
      </c>
      <c r="Q39" s="53" t="str">
        <f>IF('Sara Moss'!K24="","",'Sara Moss'!K24)</f>
        <v/>
      </c>
      <c r="R39" s="58" t="str">
        <f>IF('Sara Moss'!L24="","",'Sara Moss'!L24)</f>
        <v/>
      </c>
      <c r="S39" s="54" t="str">
        <f>IF('Sara Moss'!X24=1,"Yes","")</f>
        <v/>
      </c>
    </row>
    <row r="40">
      <c r="A40" s="53" t="inlineStr">
        <is>
          <t>Sara Moss - Site Manager</t>
        </is>
      </c>
      <c r="B40" s="53" t="str">
        <f>IF('Sara Moss'!A25="","",'Sara Moss'!A25)</f>
        <v>A1480</v>
      </c>
      <c r="C40" s="53" t="str">
        <f>IF('Sara Moss'!B25="","",'Sara Moss'!B25)</f>
        <v>Build package 48</v>
      </c>
      <c r="D40" s="54" t="str">
        <f>IF('Sara Moss'!P25="","",'Sara Moss'!P25)</f>
        <v>Not Started</v>
      </c>
      <c r="E40" s="55">
        <f>IF('Sara Moss'!R25="","",'Sara Moss'!R25)</f>
        <v>45554</v>
      </c>
      <c r="F40" s="55">
        <f>IF('Sara Moss'!Z25="","",'Sara Moss'!Z25)</f>
        <v>45568</v>
      </c>
      <c r="G40" s="55">
        <f>IF('Sara Moss'!C25="","",'Sara Moss'!C25)</f>
        <v>45554</v>
      </c>
      <c r="H40" s="55">
        <f>IF('Sara Moss'!D25="","",'Sara Moss'!D25)</f>
        <v>45568</v>
      </c>
      <c r="I40" s="56">
        <f>IF('Sara Moss'!F25="","",'Sara Moss'!F25)</f>
        <v>0</v>
      </c>
      <c r="J40" s="55" t="str">
        <f>IF('Sara Moss'!G25="","",'Sara Moss'!G25)</f>
        <v/>
      </c>
      <c r="K40" s="55" t="str">
        <f>IF('Sara Moss'!H25="","",'Sara Moss'!H25)</f>
        <v/>
      </c>
      <c r="L40" s="56" t="str">
        <f>IF('Sara Moss'!I25="","",'Sara Moss'!I25)</f>
        <v/>
      </c>
      <c r="M40" s="55" t="str">
        <f>IF('Sara Moss'!J25="","",'Sara Moss'!J25)</f>
        <v/>
      </c>
      <c r="N40" s="106">
        <f>IF('Sara Moss'!M25="","",'Sara Moss'!M25)</f>
        <v>0</v>
      </c>
      <c r="O40" s="57">
        <f>IF('Sara Moss'!N25="","",'Sara Moss'!N25)</f>
        <v>0</v>
      </c>
      <c r="P40" s="54" t="str">
        <f>IF('Sara Moss'!O25="","",'Sara Moss'!O25)</f>
        <v>Not changed yet</v>
      </c>
      <c r="Q40" s="53" t="str">
        <f>IF('Sara Moss'!K25="","",'Sara Moss'!K25)</f>
        <v/>
      </c>
      <c r="R40" s="58" t="str">
        <f>IF('Sara Moss'!L25="","",'Sara Moss'!L25)</f>
        <v/>
      </c>
      <c r="S40" s="54" t="str">
        <f>IF('Sara Moss'!X25=1,"Yes","")</f>
        <v/>
      </c>
    </row>
    <row r="41">
      <c r="A41" s="53" t="inlineStr">
        <is>
          <t>Sara Moss - Site Manager</t>
        </is>
      </c>
      <c r="B41" s="53" t="str">
        <f>IF('Sara Moss'!A26="","",'Sara Moss'!A26)</f>
        <v>A1500</v>
      </c>
      <c r="C41" s="53" t="str">
        <f>IF('Sara Moss'!B26="","",'Sara Moss'!B26)</f>
        <v>Build package 50</v>
      </c>
      <c r="D41" s="54" t="str">
        <f>IF('Sara Moss'!P26="","",'Sara Moss'!P26)</f>
        <v>Not Started</v>
      </c>
      <c r="E41" s="55">
        <f>IF('Sara Moss'!R26="","",'Sara Moss'!R26)</f>
        <v>45566</v>
      </c>
      <c r="F41" s="55">
        <f>IF('Sara Moss'!Z26="","",'Sara Moss'!Z26)</f>
        <v>45570</v>
      </c>
      <c r="G41" s="55">
        <f>IF('Sara Moss'!C26="","",'Sara Moss'!C26)</f>
        <v>45566</v>
      </c>
      <c r="H41" s="55">
        <f>IF('Sara Moss'!D26="","",'Sara Moss'!D26)</f>
        <v>45570</v>
      </c>
      <c r="I41" s="56">
        <f>IF('Sara Moss'!F26="","",'Sara Moss'!F26)</f>
        <v>0</v>
      </c>
      <c r="J41" s="55" t="str">
        <f>IF('Sara Moss'!G26="","",'Sara Moss'!G26)</f>
        <v/>
      </c>
      <c r="K41" s="55" t="str">
        <f>IF('Sara Moss'!H26="","",'Sara Moss'!H26)</f>
        <v/>
      </c>
      <c r="L41" s="56" t="str">
        <f>IF('Sara Moss'!I26="","",'Sara Moss'!I26)</f>
        <v/>
      </c>
      <c r="M41" s="55" t="str">
        <f>IF('Sara Moss'!J26="","",'Sara Moss'!J26)</f>
        <v/>
      </c>
      <c r="N41" s="106">
        <f>IF('Sara Moss'!M26="","",'Sara Moss'!M26)</f>
        <v>0</v>
      </c>
      <c r="O41" s="57">
        <f>IF('Sara Moss'!N26="","",'Sara Moss'!N26)</f>
        <v>0</v>
      </c>
      <c r="P41" s="54" t="str">
        <f>IF('Sara Moss'!O26="","",'Sara Moss'!O26)</f>
        <v>Not changed yet</v>
      </c>
      <c r="Q41" s="53" t="str">
        <f>IF('Sara Moss'!K26="","",'Sara Moss'!K26)</f>
        <v/>
      </c>
      <c r="R41" s="58" t="str">
        <f>IF('Sara Moss'!L26="","",'Sara Moss'!L26)</f>
        <v/>
      </c>
      <c r="S41" s="54" t="str">
        <f>IF('Sara Moss'!X26=1,"Yes","")</f>
        <v/>
      </c>
    </row>
    <row r="42">
      <c r="A42" s="53" t="inlineStr">
        <is>
          <t>Sara Moss - Site Manager</t>
        </is>
      </c>
      <c r="B42" s="53" t="str">
        <f>IF('Sara Moss'!A27="","",'Sara Moss'!A27)</f>
        <v>A1520</v>
      </c>
      <c r="C42" s="53" t="str">
        <f>IF('Sara Moss'!B27="","",'Sara Moss'!B27)</f>
        <v>Build package 52</v>
      </c>
      <c r="D42" s="54" t="str">
        <f>IF('Sara Moss'!P27="","",'Sara Moss'!P27)</f>
        <v>Not Started</v>
      </c>
      <c r="E42" s="55">
        <f>IF('Sara Moss'!R27="","",'Sara Moss'!R27)</f>
        <v>45570</v>
      </c>
      <c r="F42" s="55">
        <f>IF('Sara Moss'!Z27="","",'Sara Moss'!Z27)</f>
        <v>45581</v>
      </c>
      <c r="G42" s="55">
        <f>IF('Sara Moss'!C27="","",'Sara Moss'!C27)</f>
        <v>45570</v>
      </c>
      <c r="H42" s="55">
        <f>IF('Sara Moss'!D27="","",'Sara Moss'!D27)</f>
        <v>45581</v>
      </c>
      <c r="I42" s="56">
        <f>IF('Sara Moss'!F27="","",'Sara Moss'!F27)</f>
        <v>0</v>
      </c>
      <c r="J42" s="55" t="str">
        <f>IF('Sara Moss'!G27="","",'Sara Moss'!G27)</f>
        <v/>
      </c>
      <c r="K42" s="55" t="str">
        <f>IF('Sara Moss'!H27="","",'Sara Moss'!H27)</f>
        <v/>
      </c>
      <c r="L42" s="56" t="str">
        <f>IF('Sara Moss'!I27="","",'Sara Moss'!I27)</f>
        <v/>
      </c>
      <c r="M42" s="55" t="str">
        <f>IF('Sara Moss'!J27="","",'Sara Moss'!J27)</f>
        <v/>
      </c>
      <c r="N42" s="106">
        <f>IF('Sara Moss'!M27="","",'Sara Moss'!M27)</f>
        <v>0</v>
      </c>
      <c r="O42" s="57">
        <f>IF('Sara Moss'!N27="","",'Sara Moss'!N27)</f>
        <v>0</v>
      </c>
      <c r="P42" s="54" t="str">
        <f>IF('Sara Moss'!O27="","",'Sara Moss'!O27)</f>
        <v>Not changed yet</v>
      </c>
      <c r="Q42" s="53" t="str">
        <f>IF('Sara Moss'!K27="","",'Sara Moss'!K27)</f>
        <v/>
      </c>
      <c r="R42" s="58" t="str">
        <f>IF('Sara Moss'!L27="","",'Sara Moss'!L27)</f>
        <v/>
      </c>
      <c r="S42" s="54" t="str">
        <f>IF('Sara Moss'!X27=1,"Yes","")</f>
        <v/>
      </c>
    </row>
    <row r="43">
      <c r="A43" s="53" t="inlineStr">
        <is>
          <t>Sara Moss - Site Manager</t>
        </is>
      </c>
      <c r="B43" s="53" t="str">
        <f>IF('Sara Moss'!A28="","",'Sara Moss'!A28)</f>
        <v>A1540</v>
      </c>
      <c r="C43" s="53" t="str">
        <f>IF('Sara Moss'!B28="","",'Sara Moss'!B28)</f>
        <v>Build package 54</v>
      </c>
      <c r="D43" s="54" t="str">
        <f>IF('Sara Moss'!P28="","",'Sara Moss'!P28)</f>
        <v>Not Started</v>
      </c>
      <c r="E43" s="55">
        <f>IF('Sara Moss'!R28="","",'Sara Moss'!R28)</f>
        <v>45610</v>
      </c>
      <c r="F43" s="55">
        <f>IF('Sara Moss'!Z28="","",'Sara Moss'!Z28)</f>
        <v>45613</v>
      </c>
      <c r="G43" s="55">
        <f>IF('Sara Moss'!C28="","",'Sara Moss'!C28)</f>
        <v>45610</v>
      </c>
      <c r="H43" s="55">
        <f>IF('Sara Moss'!D28="","",'Sara Moss'!D28)</f>
        <v>45613</v>
      </c>
      <c r="I43" s="56">
        <f>IF('Sara Moss'!F28="","",'Sara Moss'!F28)</f>
        <v>0</v>
      </c>
      <c r="J43" s="55" t="str">
        <f>IF('Sara Moss'!G28="","",'Sara Moss'!G28)</f>
        <v/>
      </c>
      <c r="K43" s="55" t="str">
        <f>IF('Sara Moss'!H28="","",'Sara Moss'!H28)</f>
        <v/>
      </c>
      <c r="L43" s="56" t="str">
        <f>IF('Sara Moss'!I28="","",'Sara Moss'!I28)</f>
        <v/>
      </c>
      <c r="M43" s="55" t="str">
        <f>IF('Sara Moss'!J28="","",'Sara Moss'!J28)</f>
        <v/>
      </c>
      <c r="N43" s="106">
        <f>IF('Sara Moss'!M28="","",'Sara Moss'!M28)</f>
        <v>0</v>
      </c>
      <c r="O43" s="57">
        <f>IF('Sara Moss'!N28="","",'Sara Moss'!N28)</f>
        <v>0</v>
      </c>
      <c r="P43" s="54" t="str">
        <f>IF('Sara Moss'!O28="","",'Sara Moss'!O28)</f>
        <v>Not changed yet</v>
      </c>
      <c r="Q43" s="53" t="str">
        <f>IF('Sara Moss'!K28="","",'Sara Moss'!K28)</f>
        <v/>
      </c>
      <c r="R43" s="58" t="str">
        <f>IF('Sara Moss'!L28="","",'Sara Moss'!L28)</f>
        <v/>
      </c>
      <c r="S43" s="54" t="str">
        <f>IF('Sara Moss'!X28=1,"Yes","")</f>
        <v/>
      </c>
    </row>
    <row r="44">
      <c r="A44" s="53" t="inlineStr">
        <is>
          <t>Sara Moss - Site Manager</t>
        </is>
      </c>
      <c r="B44" s="53" t="str">
        <f>IF('Sara Moss'!A29="","",'Sara Moss'!A29)</f>
        <v>A1560</v>
      </c>
      <c r="C44" s="53" t="str">
        <f>IF('Sara Moss'!B29="","",'Sara Moss'!B29)</f>
        <v>Build package 56</v>
      </c>
      <c r="D44" s="54" t="str">
        <f>IF('Sara Moss'!P29="","",'Sara Moss'!P29)</f>
        <v>Not Started</v>
      </c>
      <c r="E44" s="55">
        <f>IF('Sara Moss'!R29="","",'Sara Moss'!R29)</f>
        <v>45616</v>
      </c>
      <c r="F44" s="55">
        <f>IF('Sara Moss'!Z29="","",'Sara Moss'!Z29)</f>
        <v>45630</v>
      </c>
      <c r="G44" s="55">
        <f>IF('Sara Moss'!C29="","",'Sara Moss'!C29)</f>
        <v>45616</v>
      </c>
      <c r="H44" s="55">
        <f>IF('Sara Moss'!D29="","",'Sara Moss'!D29)</f>
        <v>45630</v>
      </c>
      <c r="I44" s="56">
        <f>IF('Sara Moss'!F29="","",'Sara Moss'!F29)</f>
        <v>0</v>
      </c>
      <c r="J44" s="55" t="str">
        <f>IF('Sara Moss'!G29="","",'Sara Moss'!G29)</f>
        <v/>
      </c>
      <c r="K44" s="55" t="str">
        <f>IF('Sara Moss'!H29="","",'Sara Moss'!H29)</f>
        <v/>
      </c>
      <c r="L44" s="56" t="str">
        <f>IF('Sara Moss'!I29="","",'Sara Moss'!I29)</f>
        <v/>
      </c>
      <c r="M44" s="55" t="str">
        <f>IF('Sara Moss'!J29="","",'Sara Moss'!J29)</f>
        <v/>
      </c>
      <c r="N44" s="106">
        <f>IF('Sara Moss'!M29="","",'Sara Moss'!M29)</f>
        <v>0</v>
      </c>
      <c r="O44" s="57">
        <f>IF('Sara Moss'!N29="","",'Sara Moss'!N29)</f>
        <v>0</v>
      </c>
      <c r="P44" s="54" t="str">
        <f>IF('Sara Moss'!O29="","",'Sara Moss'!O29)</f>
        <v>Not changed yet</v>
      </c>
      <c r="Q44" s="53" t="str">
        <f>IF('Sara Moss'!K29="","",'Sara Moss'!K29)</f>
        <v/>
      </c>
      <c r="R44" s="58" t="str">
        <f>IF('Sara Moss'!L29="","",'Sara Moss'!L29)</f>
        <v/>
      </c>
      <c r="S44" s="54" t="str">
        <f>IF('Sara Moss'!X29=1,"Yes","")</f>
        <v/>
      </c>
    </row>
    <row r="45">
      <c r="A45" s="53" t="inlineStr">
        <is>
          <t>Sara Moss - Site Manager</t>
        </is>
      </c>
      <c r="B45" s="53" t="str">
        <f>IF('Sara Moss'!A30="","",'Sara Moss'!A30)</f>
        <v>A1580</v>
      </c>
      <c r="C45" s="53" t="str">
        <f>IF('Sara Moss'!B30="","",'Sara Moss'!B30)</f>
        <v>Build package 58</v>
      </c>
      <c r="D45" s="54" t="str">
        <f>IF('Sara Moss'!P30="","",'Sara Moss'!P30)</f>
        <v>Not Started</v>
      </c>
      <c r="E45" s="55">
        <f>IF('Sara Moss'!R30="","",'Sara Moss'!R30)</f>
        <v>45625</v>
      </c>
      <c r="F45" s="55">
        <f>IF('Sara Moss'!Z30="","",'Sara Moss'!Z30)</f>
        <v>45695</v>
      </c>
      <c r="G45" s="55">
        <f>IF('Sara Moss'!C30="","",'Sara Moss'!C30)</f>
        <v>45625</v>
      </c>
      <c r="H45" s="55">
        <f>IF('Sara Moss'!D30="","",'Sara Moss'!D30)</f>
        <v>45695</v>
      </c>
      <c r="I45" s="56">
        <f>IF('Sara Moss'!F30="","",'Sara Moss'!F30)</f>
        <v>0</v>
      </c>
      <c r="J45" s="55" t="str">
        <f>IF('Sara Moss'!G30="","",'Sara Moss'!G30)</f>
        <v/>
      </c>
      <c r="K45" s="55" t="str">
        <f>IF('Sara Moss'!H30="","",'Sara Moss'!H30)</f>
        <v/>
      </c>
      <c r="L45" s="56" t="str">
        <f>IF('Sara Moss'!I30="","",'Sara Moss'!I30)</f>
        <v/>
      </c>
      <c r="M45" s="55" t="str">
        <f>IF('Sara Moss'!J30="","",'Sara Moss'!J30)</f>
        <v/>
      </c>
      <c r="N45" s="106">
        <f>IF('Sara Moss'!M30="","",'Sara Moss'!M30)</f>
        <v>0</v>
      </c>
      <c r="O45" s="57">
        <f>IF('Sara Moss'!N30="","",'Sara Moss'!N30)</f>
        <v>0</v>
      </c>
      <c r="P45" s="54" t="str">
        <f>IF('Sara Moss'!O30="","",'Sara Moss'!O30)</f>
        <v>Not changed yet</v>
      </c>
      <c r="Q45" s="53" t="str">
        <f>IF('Sara Moss'!K30="","",'Sara Moss'!K30)</f>
        <v/>
      </c>
      <c r="R45" s="58" t="str">
        <f>IF('Sara Moss'!L30="","",'Sara Moss'!L30)</f>
        <v/>
      </c>
      <c r="S45" s="54" t="str">
        <f>IF('Sara Moss'!X30=1,"Yes","")</f>
        <v/>
      </c>
    </row>
    <row r="46">
      <c r="A46" s="53" t="inlineStr">
        <is>
          <t>Tom Reid - Package Manager</t>
        </is>
      </c>
      <c r="B46" s="53" t="str">
        <f>IF('Tom Reid'!A11="","",'Tom Reid'!A11)</f>
        <v>A1210</v>
      </c>
      <c r="C46" s="53" t="str">
        <f>IF('Tom Reid'!B11="","",'Tom Reid'!B11)</f>
        <v>Build package 21</v>
      </c>
      <c r="D46" s="54" t="str">
        <f>IF('Tom Reid'!P11="","",'Tom Reid'!P11)</f>
        <v>Completed</v>
      </c>
      <c r="E46" s="55">
        <f>IF('Tom Reid'!R11="","",'Tom Reid'!R11)</f>
        <v>45362</v>
      </c>
      <c r="F46" s="55">
        <f>IF('Tom Reid'!Z11="","",'Tom Reid'!Z11)</f>
        <v>45376</v>
      </c>
      <c r="G46" s="55">
        <f>IF('Tom Reid'!C11="","",'Tom Reid'!C11)</f>
        <v>45362</v>
      </c>
      <c r="H46" s="55">
        <f>IF('Tom Reid'!D11="","",'Tom Reid'!D11)</f>
        <v>45376</v>
      </c>
      <c r="I46" s="56">
        <f>IF('Tom Reid'!F11="","",'Tom Reid'!F11)</f>
        <v>100</v>
      </c>
      <c r="J46" s="55">
        <f>IF('Tom Reid'!G11="","",'Tom Reid'!G11)</f>
        <v>45362</v>
      </c>
      <c r="K46" s="55">
        <f>IF('Tom Reid'!H11="","",'Tom Reid'!H11)</f>
        <v>45376</v>
      </c>
      <c r="L46" s="56" t="str">
        <f>IF('Tom Reid'!I11="","",'Tom Reid'!I11)</f>
        <v/>
      </c>
      <c r="M46" s="55" t="str">
        <f>IF('Tom Reid'!J11="","",'Tom Reid'!J11)</f>
        <v/>
      </c>
      <c r="N46" s="106">
        <f>IF('Tom Reid'!M11="","",'Tom Reid'!M11)</f>
        <v>0</v>
      </c>
      <c r="O46" s="57">
        <f>IF('Tom Reid'!N11="","",'Tom Reid'!N11)</f>
        <v>0</v>
      </c>
      <c r="P46" s="54" t="str">
        <f>IF('Tom Reid'!O11="","",'Tom Reid'!O11)</f>
        <v>✓ Complete</v>
      </c>
      <c r="Q46" s="53" t="str">
        <f>IF('Tom Reid'!K11="","",'Tom Reid'!K11)</f>
        <v/>
      </c>
      <c r="R46" s="58" t="str">
        <f>IF('Tom Reid'!L11="","",'Tom Reid'!L11)</f>
        <v/>
      </c>
      <c r="S46" s="54" t="str">
        <f>IF('Tom Reid'!X11=1,"Yes","")</f>
        <v/>
      </c>
    </row>
    <row r="47">
      <c r="A47" s="53" t="inlineStr">
        <is>
          <t>Tom Reid - Package Manager</t>
        </is>
      </c>
      <c r="B47" s="53" t="str">
        <f>IF('Tom Reid'!A12="","",'Tom Reid'!A12)</f>
        <v>A1230</v>
      </c>
      <c r="C47" s="53" t="str">
        <f>IF('Tom Reid'!B12="","",'Tom Reid'!B12)</f>
        <v>Build package 23</v>
      </c>
      <c r="D47" s="54" t="str">
        <f>IF('Tom Reid'!P12="","",'Tom Reid'!P12)</f>
        <v>Completed</v>
      </c>
      <c r="E47" s="55">
        <f>IF('Tom Reid'!R12="","",'Tom Reid'!R12)</f>
        <v>45376</v>
      </c>
      <c r="F47" s="55">
        <f>IF('Tom Reid'!Z12="","",'Tom Reid'!Z12)</f>
        <v>45387</v>
      </c>
      <c r="G47" s="55">
        <f>IF('Tom Reid'!C12="","",'Tom Reid'!C12)</f>
        <v>45376</v>
      </c>
      <c r="H47" s="55">
        <f>IF('Tom Reid'!D12="","",'Tom Reid'!D12)</f>
        <v>45387</v>
      </c>
      <c r="I47" s="56">
        <f>IF('Tom Reid'!F12="","",'Tom Reid'!F12)</f>
        <v>100</v>
      </c>
      <c r="J47" s="55">
        <f>IF('Tom Reid'!G12="","",'Tom Reid'!G12)</f>
        <v>45376</v>
      </c>
      <c r="K47" s="55">
        <f>IF('Tom Reid'!H12="","",'Tom Reid'!H12)</f>
        <v>45387</v>
      </c>
      <c r="L47" s="56" t="str">
        <f>IF('Tom Reid'!I12="","",'Tom Reid'!I12)</f>
        <v/>
      </c>
      <c r="M47" s="55" t="str">
        <f>IF('Tom Reid'!J12="","",'Tom Reid'!J12)</f>
        <v/>
      </c>
      <c r="N47" s="106">
        <f>IF('Tom Reid'!M12="","",'Tom Reid'!M12)</f>
        <v>0</v>
      </c>
      <c r="O47" s="57">
        <f>IF('Tom Reid'!N12="","",'Tom Reid'!N12)</f>
        <v>0</v>
      </c>
      <c r="P47" s="54" t="str">
        <f>IF('Tom Reid'!O12="","",'Tom Reid'!O12)</f>
        <v>✓ Complete</v>
      </c>
      <c r="Q47" s="53" t="str">
        <f>IF('Tom Reid'!K12="","",'Tom Reid'!K12)</f>
        <v/>
      </c>
      <c r="R47" s="58" t="str">
        <f>IF('Tom Reid'!L12="","",'Tom Reid'!L12)</f>
        <v/>
      </c>
      <c r="S47" s="54" t="str">
        <f>IF('Tom Reid'!X12=1,"Yes","")</f>
        <v/>
      </c>
    </row>
    <row r="48">
      <c r="A48" s="53" t="inlineStr">
        <is>
          <t>Tom Reid - Package Manager</t>
        </is>
      </c>
      <c r="B48" s="53" t="str">
        <f>IF('Tom Reid'!A13="","",'Tom Reid'!A13)</f>
        <v>A1250</v>
      </c>
      <c r="C48" s="53" t="str">
        <f>IF('Tom Reid'!B13="","",'Tom Reid'!B13)</f>
        <v>Build package 25</v>
      </c>
      <c r="D48" s="54" t="str">
        <f>IF('Tom Reid'!P13="","",'Tom Reid'!P13)</f>
        <v>Completed</v>
      </c>
      <c r="E48" s="55">
        <f>IF('Tom Reid'!R13="","",'Tom Reid'!R13)</f>
        <v>45416</v>
      </c>
      <c r="F48" s="55">
        <f>IF('Tom Reid'!Z13="","",'Tom Reid'!Z13)</f>
        <v>45427</v>
      </c>
      <c r="G48" s="55">
        <f>IF('Tom Reid'!C13="","",'Tom Reid'!C13)</f>
        <v>45416</v>
      </c>
      <c r="H48" s="55">
        <f>IF('Tom Reid'!D13="","",'Tom Reid'!D13)</f>
        <v>45427</v>
      </c>
      <c r="I48" s="56">
        <f>IF('Tom Reid'!F13="","",'Tom Reid'!F13)</f>
        <v>100</v>
      </c>
      <c r="J48" s="55">
        <f>IF('Tom Reid'!G13="","",'Tom Reid'!G13)</f>
        <v>45416</v>
      </c>
      <c r="K48" s="55">
        <f>IF('Tom Reid'!H13="","",'Tom Reid'!H13)</f>
        <v>45427</v>
      </c>
      <c r="L48" s="56" t="str">
        <f>IF('Tom Reid'!I13="","",'Tom Reid'!I13)</f>
        <v/>
      </c>
      <c r="M48" s="55" t="str">
        <f>IF('Tom Reid'!J13="","",'Tom Reid'!J13)</f>
        <v/>
      </c>
      <c r="N48" s="106">
        <f>IF('Tom Reid'!M13="","",'Tom Reid'!M13)</f>
        <v>0</v>
      </c>
      <c r="O48" s="57">
        <f>IF('Tom Reid'!N13="","",'Tom Reid'!N13)</f>
        <v>0</v>
      </c>
      <c r="P48" s="54" t="str">
        <f>IF('Tom Reid'!O13="","",'Tom Reid'!O13)</f>
        <v>✓ Complete</v>
      </c>
      <c r="Q48" s="53" t="str">
        <f>IF('Tom Reid'!K13="","",'Tom Reid'!K13)</f>
        <v/>
      </c>
      <c r="R48" s="58" t="str">
        <f>IF('Tom Reid'!L13="","",'Tom Reid'!L13)</f>
        <v/>
      </c>
      <c r="S48" s="54" t="str">
        <f>IF('Tom Reid'!X13=1,"Yes","")</f>
        <v/>
      </c>
    </row>
    <row r="49">
      <c r="A49" s="53" t="inlineStr">
        <is>
          <t>Tom Reid - Package Manager</t>
        </is>
      </c>
      <c r="B49" s="53" t="str">
        <f>IF('Tom Reid'!A14="","",'Tom Reid'!A14)</f>
        <v>A1270</v>
      </c>
      <c r="C49" s="53" t="str">
        <f>IF('Tom Reid'!B14="","",'Tom Reid'!B14)</f>
        <v>Build package 27</v>
      </c>
      <c r="D49" s="54" t="str">
        <f>IF('Tom Reid'!P14="","",'Tom Reid'!P14)</f>
        <v>Completed</v>
      </c>
      <c r="E49" s="55">
        <f>IF('Tom Reid'!R14="","",'Tom Reid'!R14)</f>
        <v>45424</v>
      </c>
      <c r="F49" s="55">
        <f>IF('Tom Reid'!Z14="","",'Tom Reid'!Z14)</f>
        <v>45428</v>
      </c>
      <c r="G49" s="55">
        <f>IF('Tom Reid'!C14="","",'Tom Reid'!C14)</f>
        <v>45424</v>
      </c>
      <c r="H49" s="55">
        <f>IF('Tom Reid'!D14="","",'Tom Reid'!D14)</f>
        <v>45428</v>
      </c>
      <c r="I49" s="56">
        <f>IF('Tom Reid'!F14="","",'Tom Reid'!F14)</f>
        <v>100</v>
      </c>
      <c r="J49" s="55">
        <f>IF('Tom Reid'!G14="","",'Tom Reid'!G14)</f>
        <v>45424</v>
      </c>
      <c r="K49" s="55">
        <f>IF('Tom Reid'!H14="","",'Tom Reid'!H14)</f>
        <v>45428</v>
      </c>
      <c r="L49" s="56" t="str">
        <f>IF('Tom Reid'!I14="","",'Tom Reid'!I14)</f>
        <v/>
      </c>
      <c r="M49" s="55" t="str">
        <f>IF('Tom Reid'!J14="","",'Tom Reid'!J14)</f>
        <v/>
      </c>
      <c r="N49" s="106">
        <f>IF('Tom Reid'!M14="","",'Tom Reid'!M14)</f>
        <v>0</v>
      </c>
      <c r="O49" s="57">
        <f>IF('Tom Reid'!N14="","",'Tom Reid'!N14)</f>
        <v>0</v>
      </c>
      <c r="P49" s="54" t="str">
        <f>IF('Tom Reid'!O14="","",'Tom Reid'!O14)</f>
        <v>✓ Complete</v>
      </c>
      <c r="Q49" s="53" t="str">
        <f>IF('Tom Reid'!K14="","",'Tom Reid'!K14)</f>
        <v/>
      </c>
      <c r="R49" s="58" t="str">
        <f>IF('Tom Reid'!L14="","",'Tom Reid'!L14)</f>
        <v/>
      </c>
      <c r="S49" s="54" t="str">
        <f>IF('Tom Reid'!X14=1,"Yes","")</f>
        <v/>
      </c>
    </row>
    <row r="50">
      <c r="A50" s="53" t="inlineStr">
        <is>
          <t>Tom Reid - Package Manager</t>
        </is>
      </c>
      <c r="B50" s="53" t="str">
        <f>IF('Tom Reid'!A15="","",'Tom Reid'!A15)</f>
        <v>A1290</v>
      </c>
      <c r="C50" s="53" t="str">
        <f>IF('Tom Reid'!B15="","",'Tom Reid'!B15)</f>
        <v>Build package 29</v>
      </c>
      <c r="D50" s="54" t="str">
        <f>IF('Tom Reid'!P15="","",'Tom Reid'!P15)</f>
        <v>Completed</v>
      </c>
      <c r="E50" s="55">
        <f>IF('Tom Reid'!R15="","",'Tom Reid'!R15)</f>
        <v>45436</v>
      </c>
      <c r="F50" s="55">
        <f>IF('Tom Reid'!Z15="","",'Tom Reid'!Z15)</f>
        <v>45439</v>
      </c>
      <c r="G50" s="55">
        <f>IF('Tom Reid'!C15="","",'Tom Reid'!C15)</f>
        <v>45436</v>
      </c>
      <c r="H50" s="55">
        <f>IF('Tom Reid'!D15="","",'Tom Reid'!D15)</f>
        <v>45439</v>
      </c>
      <c r="I50" s="56">
        <f>IF('Tom Reid'!F15="","",'Tom Reid'!F15)</f>
        <v>100</v>
      </c>
      <c r="J50" s="55">
        <f>IF('Tom Reid'!G15="","",'Tom Reid'!G15)</f>
        <v>45436</v>
      </c>
      <c r="K50" s="55">
        <f>IF('Tom Reid'!H15="","",'Tom Reid'!H15)</f>
        <v>45439</v>
      </c>
      <c r="L50" s="56" t="str">
        <f>IF('Tom Reid'!I15="","",'Tom Reid'!I15)</f>
        <v/>
      </c>
      <c r="M50" s="55" t="str">
        <f>IF('Tom Reid'!J15="","",'Tom Reid'!J15)</f>
        <v/>
      </c>
      <c r="N50" s="106">
        <f>IF('Tom Reid'!M15="","",'Tom Reid'!M15)</f>
        <v>0</v>
      </c>
      <c r="O50" s="57">
        <f>IF('Tom Reid'!N15="","",'Tom Reid'!N15)</f>
        <v>0</v>
      </c>
      <c r="P50" s="54" t="str">
        <f>IF('Tom Reid'!O15="","",'Tom Reid'!O15)</f>
        <v>✓ Complete</v>
      </c>
      <c r="Q50" s="53" t="str">
        <f>IF('Tom Reid'!K15="","",'Tom Reid'!K15)</f>
        <v/>
      </c>
      <c r="R50" s="58" t="str">
        <f>IF('Tom Reid'!L15="","",'Tom Reid'!L15)</f>
        <v/>
      </c>
      <c r="S50" s="54" t="str">
        <f>IF('Tom Reid'!X15=1,"Yes","")</f>
        <v/>
      </c>
    </row>
    <row r="51">
      <c r="A51" s="53" t="inlineStr">
        <is>
          <t>Tom Reid - Package Manager</t>
        </is>
      </c>
      <c r="B51" s="53" t="str">
        <f>IF('Tom Reid'!A16="","",'Tom Reid'!A16)</f>
        <v>A1310</v>
      </c>
      <c r="C51" s="53" t="str">
        <f>IF('Tom Reid'!B16="","",'Tom Reid'!B16)</f>
        <v>Build package 31</v>
      </c>
      <c r="D51" s="54" t="str">
        <f>IF('Tom Reid'!P16="","",'Tom Reid'!P16)</f>
        <v>Completed</v>
      </c>
      <c r="E51" s="55">
        <f>IF('Tom Reid'!R16="","",'Tom Reid'!R16)</f>
        <v>45444</v>
      </c>
      <c r="F51" s="55">
        <f>IF('Tom Reid'!Z16="","",'Tom Reid'!Z16)</f>
        <v>45451</v>
      </c>
      <c r="G51" s="55">
        <f>IF('Tom Reid'!C16="","",'Tom Reid'!C16)</f>
        <v>45444</v>
      </c>
      <c r="H51" s="55">
        <f>IF('Tom Reid'!D16="","",'Tom Reid'!D16)</f>
        <v>45451</v>
      </c>
      <c r="I51" s="56">
        <f>IF('Tom Reid'!F16="","",'Tom Reid'!F16)</f>
        <v>100</v>
      </c>
      <c r="J51" s="55">
        <f>IF('Tom Reid'!G16="","",'Tom Reid'!G16)</f>
        <v>45444</v>
      </c>
      <c r="K51" s="55">
        <f>IF('Tom Reid'!H16="","",'Tom Reid'!H16)</f>
        <v>45451</v>
      </c>
      <c r="L51" s="56" t="str">
        <f>IF('Tom Reid'!I16="","",'Tom Reid'!I16)</f>
        <v/>
      </c>
      <c r="M51" s="55" t="str">
        <f>IF('Tom Reid'!J16="","",'Tom Reid'!J16)</f>
        <v/>
      </c>
      <c r="N51" s="106">
        <f>IF('Tom Reid'!M16="","",'Tom Reid'!M16)</f>
        <v>0</v>
      </c>
      <c r="O51" s="57">
        <f>IF('Tom Reid'!N16="","",'Tom Reid'!N16)</f>
        <v>0</v>
      </c>
      <c r="P51" s="54" t="str">
        <f>IF('Tom Reid'!O16="","",'Tom Reid'!O16)</f>
        <v>✓ Complete</v>
      </c>
      <c r="Q51" s="53" t="str">
        <f>IF('Tom Reid'!K16="","",'Tom Reid'!K16)</f>
        <v/>
      </c>
      <c r="R51" s="58" t="str">
        <f>IF('Tom Reid'!L16="","",'Tom Reid'!L16)</f>
        <v/>
      </c>
      <c r="S51" s="54" t="str">
        <f>IF('Tom Reid'!X16=1,"Yes","")</f>
        <v/>
      </c>
    </row>
    <row r="52">
      <c r="A52" s="53" t="inlineStr">
        <is>
          <t>Tom Reid - Package Manager</t>
        </is>
      </c>
      <c r="B52" s="53" t="str">
        <f>IF('Tom Reid'!A17="","",'Tom Reid'!A17)</f>
        <v>A1330</v>
      </c>
      <c r="C52" s="53" t="str">
        <f>IF('Tom Reid'!B17="","",'Tom Reid'!B17)</f>
        <v>Build package 33</v>
      </c>
      <c r="D52" s="54" t="str">
        <f>IF('Tom Reid'!P17="","",'Tom Reid'!P17)</f>
        <v>Completed</v>
      </c>
      <c r="E52" s="55">
        <f>IF('Tom Reid'!R17="","",'Tom Reid'!R17)</f>
        <v>45450</v>
      </c>
      <c r="F52" s="55">
        <f>IF('Tom Reid'!Z17="","",'Tom Reid'!Z17)</f>
        <v>45453</v>
      </c>
      <c r="G52" s="55">
        <f>IF('Tom Reid'!C17="","",'Tom Reid'!C17)</f>
        <v>45450</v>
      </c>
      <c r="H52" s="55">
        <f>IF('Tom Reid'!D17="","",'Tom Reid'!D17)</f>
        <v>45453</v>
      </c>
      <c r="I52" s="56">
        <f>IF('Tom Reid'!F17="","",'Tom Reid'!F17)</f>
        <v>100</v>
      </c>
      <c r="J52" s="55">
        <f>IF('Tom Reid'!G17="","",'Tom Reid'!G17)</f>
        <v>45450</v>
      </c>
      <c r="K52" s="55">
        <f>IF('Tom Reid'!H17="","",'Tom Reid'!H17)</f>
        <v>45453</v>
      </c>
      <c r="L52" s="56" t="str">
        <f>IF('Tom Reid'!I17="","",'Tom Reid'!I17)</f>
        <v/>
      </c>
      <c r="M52" s="55" t="str">
        <f>IF('Tom Reid'!J17="","",'Tom Reid'!J17)</f>
        <v/>
      </c>
      <c r="N52" s="106">
        <f>IF('Tom Reid'!M17="","",'Tom Reid'!M17)</f>
        <v>0</v>
      </c>
      <c r="O52" s="57">
        <f>IF('Tom Reid'!N17="","",'Tom Reid'!N17)</f>
        <v>0</v>
      </c>
      <c r="P52" s="54" t="str">
        <f>IF('Tom Reid'!O17="","",'Tom Reid'!O17)</f>
        <v>✓ Complete</v>
      </c>
      <c r="Q52" s="53" t="str">
        <f>IF('Tom Reid'!K17="","",'Tom Reid'!K17)</f>
        <v/>
      </c>
      <c r="R52" s="58" t="str">
        <f>IF('Tom Reid'!L17="","",'Tom Reid'!L17)</f>
        <v/>
      </c>
      <c r="S52" s="54" t="str">
        <f>IF('Tom Reid'!X17=1,"Yes","")</f>
        <v/>
      </c>
    </row>
    <row r="53">
      <c r="A53" s="53" t="inlineStr">
        <is>
          <t>Tom Reid - Package Manager</t>
        </is>
      </c>
      <c r="B53" s="53" t="str">
        <f>IF('Tom Reid'!A18="","",'Tom Reid'!A18)</f>
        <v>A1350</v>
      </c>
      <c r="C53" s="53" t="str">
        <f>IF('Tom Reid'!B18="","",'Tom Reid'!B18)</f>
        <v>Build package 35</v>
      </c>
      <c r="D53" s="54" t="str">
        <f>IF('Tom Reid'!P18="","",'Tom Reid'!P18)</f>
        <v>In Progress</v>
      </c>
      <c r="E53" s="55">
        <f>IF('Tom Reid'!R18="","",'Tom Reid'!R18)</f>
        <v>45453</v>
      </c>
      <c r="F53" s="55">
        <f>IF('Tom Reid'!Z18="","",'Tom Reid'!Z18)</f>
        <v>45464</v>
      </c>
      <c r="G53" s="55">
        <f>IF('Tom Reid'!C18="","",'Tom Reid'!C18)</f>
        <v>45453</v>
      </c>
      <c r="H53" s="55">
        <f>IF('Tom Reid'!D18="","",'Tom Reid'!D18)</f>
        <v>45464</v>
      </c>
      <c r="I53" s="56">
        <f>IF('Tom Reid'!F18="","",'Tom Reid'!F18)</f>
        <v>60</v>
      </c>
      <c r="J53" s="55">
        <f>IF('Tom Reid'!G18="","",'Tom Reid'!G18)</f>
        <v>45453</v>
      </c>
      <c r="K53" s="55" t="str">
        <f>IF('Tom Reid'!H18="","",'Tom Reid'!H18)</f>
        <v/>
      </c>
      <c r="L53" s="56" t="str">
        <f>IF('Tom Reid'!I18="","",'Tom Reid'!I18)</f>
        <v/>
      </c>
      <c r="M53" s="55" t="str">
        <f>IF('Tom Reid'!J18="","",'Tom Reid'!J18)</f>
        <v/>
      </c>
      <c r="N53" s="106">
        <f>IF('Tom Reid'!M18="","",'Tom Reid'!M18)</f>
        <v>0</v>
      </c>
      <c r="O53" s="57">
        <f>IF('Tom Reid'!N18="","",'Tom Reid'!N18)</f>
        <v>0</v>
      </c>
      <c r="P53" s="54" t="str">
        <f>IF('Tom Reid'!O18="","",'Tom Reid'!O18)</f>
        <v>Finish date needed</v>
      </c>
      <c r="Q53" s="53" t="str">
        <f>IF('Tom Reid'!K18="","",'Tom Reid'!K18)</f>
        <v/>
      </c>
      <c r="R53" s="58" t="str">
        <f>IF('Tom Reid'!L18="","",'Tom Reid'!L18)</f>
        <v/>
      </c>
      <c r="S53" s="54" t="str">
        <f>IF('Tom Reid'!X18=1,"Yes","")</f>
        <v/>
      </c>
    </row>
    <row r="54">
      <c r="A54" s="53" t="inlineStr">
        <is>
          <t>Tom Reid - Package Manager</t>
        </is>
      </c>
      <c r="B54" s="53" t="str">
        <f>IF('Tom Reid'!A19="","",'Tom Reid'!A19)</f>
        <v>A1370</v>
      </c>
      <c r="C54" s="53" t="str">
        <f>IF('Tom Reid'!B19="","",'Tom Reid'!B19)</f>
        <v>Build package 37</v>
      </c>
      <c r="D54" s="54" t="str">
        <f>IF('Tom Reid'!P19="","",'Tom Reid'!P19)</f>
        <v>In Progress</v>
      </c>
      <c r="E54" s="55">
        <f>IF('Tom Reid'!R19="","",'Tom Reid'!R19)</f>
        <v>45468</v>
      </c>
      <c r="F54" s="55">
        <f>IF('Tom Reid'!Z19="","",'Tom Reid'!Z19)</f>
        <v>45475</v>
      </c>
      <c r="G54" s="55">
        <f>IF('Tom Reid'!C19="","",'Tom Reid'!C19)</f>
        <v>45468</v>
      </c>
      <c r="H54" s="55">
        <f>IF('Tom Reid'!D19="","",'Tom Reid'!D19)</f>
        <v>45475</v>
      </c>
      <c r="I54" s="56">
        <f>IF('Tom Reid'!F19="","",'Tom Reid'!F19)</f>
        <v>40</v>
      </c>
      <c r="J54" s="55">
        <f>IF('Tom Reid'!G19="","",'Tom Reid'!G19)</f>
        <v>45468</v>
      </c>
      <c r="K54" s="55" t="str">
        <f>IF('Tom Reid'!H19="","",'Tom Reid'!H19)</f>
        <v/>
      </c>
      <c r="L54" s="56" t="str">
        <f>IF('Tom Reid'!I19="","",'Tom Reid'!I19)</f>
        <v/>
      </c>
      <c r="M54" s="55" t="str">
        <f>IF('Tom Reid'!J19="","",'Tom Reid'!J19)</f>
        <v/>
      </c>
      <c r="N54" s="106">
        <f>IF('Tom Reid'!M19="","",'Tom Reid'!M19)</f>
        <v>0</v>
      </c>
      <c r="O54" s="57">
        <f>IF('Tom Reid'!N19="","",'Tom Reid'!N19)</f>
        <v>0</v>
      </c>
      <c r="P54" s="54" t="str">
        <f>IF('Tom Reid'!O19="","",'Tom Reid'!O19)</f>
        <v>Not changed yet</v>
      </c>
      <c r="Q54" s="53" t="str">
        <f>IF('Tom Reid'!K19="","",'Tom Reid'!K19)</f>
        <v/>
      </c>
      <c r="R54" s="58" t="str">
        <f>IF('Tom Reid'!L19="","",'Tom Reid'!L19)</f>
        <v/>
      </c>
      <c r="S54" s="54" t="str">
        <f>IF('Tom Reid'!X19=1,"Yes","")</f>
        <v/>
      </c>
    </row>
    <row r="55">
      <c r="A55" s="53" t="inlineStr">
        <is>
          <t>Tom Reid - Package Manager</t>
        </is>
      </c>
      <c r="B55" s="53" t="str">
        <f>IF('Tom Reid'!A20="","",'Tom Reid'!A20)</f>
        <v>A1390</v>
      </c>
      <c r="C55" s="53" t="str">
        <f>IF('Tom Reid'!B20="","",'Tom Reid'!B20)</f>
        <v>Build package 39</v>
      </c>
      <c r="D55" s="54" t="str">
        <f>IF('Tom Reid'!P20="","",'Tom Reid'!P20)</f>
        <v>Not Started</v>
      </c>
      <c r="E55" s="55">
        <f>IF('Tom Reid'!R20="","",'Tom Reid'!R20)</f>
        <v>45478</v>
      </c>
      <c r="F55" s="55">
        <f>IF('Tom Reid'!Z20="","",'Tom Reid'!Z20)</f>
        <v>45548</v>
      </c>
      <c r="G55" s="55">
        <f>IF('Tom Reid'!C20="","",'Tom Reid'!C20)</f>
        <v>45478</v>
      </c>
      <c r="H55" s="55">
        <f>IF('Tom Reid'!D20="","",'Tom Reid'!D20)</f>
        <v>45548</v>
      </c>
      <c r="I55" s="56">
        <f>IF('Tom Reid'!F20="","",'Tom Reid'!F20)</f>
        <v>0</v>
      </c>
      <c r="J55" s="55" t="str">
        <f>IF('Tom Reid'!G20="","",'Tom Reid'!G20)</f>
        <v/>
      </c>
      <c r="K55" s="55" t="str">
        <f>IF('Tom Reid'!H20="","",'Tom Reid'!H20)</f>
        <v/>
      </c>
      <c r="L55" s="56" t="str">
        <f>IF('Tom Reid'!I20="","",'Tom Reid'!I20)</f>
        <v/>
      </c>
      <c r="M55" s="55" t="str">
        <f>IF('Tom Reid'!J20="","",'Tom Reid'!J20)</f>
        <v/>
      </c>
      <c r="N55" s="106">
        <f>IF('Tom Reid'!M20="","",'Tom Reid'!M20)</f>
        <v>0</v>
      </c>
      <c r="O55" s="57">
        <f>IF('Tom Reid'!N20="","",'Tom Reid'!N20)</f>
        <v>0</v>
      </c>
      <c r="P55" s="54" t="str">
        <f>IF('Tom Reid'!O20="","",'Tom Reid'!O20)</f>
        <v>Not changed yet</v>
      </c>
      <c r="Q55" s="53" t="str">
        <f>IF('Tom Reid'!K20="","",'Tom Reid'!K20)</f>
        <v/>
      </c>
      <c r="R55" s="58" t="str">
        <f>IF('Tom Reid'!L20="","",'Tom Reid'!L20)</f>
        <v/>
      </c>
      <c r="S55" s="54" t="str">
        <f>IF('Tom Reid'!X20=1,"Yes","")</f>
        <v/>
      </c>
    </row>
    <row r="56">
      <c r="A56" s="53" t="inlineStr">
        <is>
          <t>Tom Reid - Package Manager</t>
        </is>
      </c>
      <c r="B56" s="53" t="str">
        <f>IF('Tom Reid'!A21="","",'Tom Reid'!A21)</f>
        <v>A1410</v>
      </c>
      <c r="C56" s="53" t="str">
        <f>IF('Tom Reid'!B21="","",'Tom Reid'!B21)</f>
        <v>Build package 41</v>
      </c>
      <c r="D56" s="54" t="str">
        <f>IF('Tom Reid'!P21="","",'Tom Reid'!P21)</f>
        <v>Not Started</v>
      </c>
      <c r="E56" s="55">
        <f>IF('Tom Reid'!R21="","",'Tom Reid'!R21)</f>
        <v>45516</v>
      </c>
      <c r="F56" s="55">
        <f>IF('Tom Reid'!Z21="","",'Tom Reid'!Z21)</f>
        <v>45537</v>
      </c>
      <c r="G56" s="55">
        <f>IF('Tom Reid'!C21="","",'Tom Reid'!C21)</f>
        <v>45516</v>
      </c>
      <c r="H56" s="55">
        <f>IF('Tom Reid'!D21="","",'Tom Reid'!D21)</f>
        <v>45537</v>
      </c>
      <c r="I56" s="56">
        <f>IF('Tom Reid'!F21="","",'Tom Reid'!F21)</f>
        <v>0</v>
      </c>
      <c r="J56" s="55" t="str">
        <f>IF('Tom Reid'!G21="","",'Tom Reid'!G21)</f>
        <v/>
      </c>
      <c r="K56" s="55" t="str">
        <f>IF('Tom Reid'!H21="","",'Tom Reid'!H21)</f>
        <v/>
      </c>
      <c r="L56" s="56" t="str">
        <f>IF('Tom Reid'!I21="","",'Tom Reid'!I21)</f>
        <v/>
      </c>
      <c r="M56" s="55" t="str">
        <f>IF('Tom Reid'!J21="","",'Tom Reid'!J21)</f>
        <v/>
      </c>
      <c r="N56" s="106">
        <f>IF('Tom Reid'!M21="","",'Tom Reid'!M21)</f>
        <v>0</v>
      </c>
      <c r="O56" s="57">
        <f>IF('Tom Reid'!N21="","",'Tom Reid'!N21)</f>
        <v>0</v>
      </c>
      <c r="P56" s="54" t="str">
        <f>IF('Tom Reid'!O21="","",'Tom Reid'!O21)</f>
        <v>Not changed yet</v>
      </c>
      <c r="Q56" s="53" t="str">
        <f>IF('Tom Reid'!K21="","",'Tom Reid'!K21)</f>
        <v/>
      </c>
      <c r="R56" s="58" t="str">
        <f>IF('Tom Reid'!L21="","",'Tom Reid'!L21)</f>
        <v/>
      </c>
      <c r="S56" s="54" t="str">
        <f>IF('Tom Reid'!X21=1,"Yes","")</f>
        <v/>
      </c>
    </row>
    <row r="57">
      <c r="A57" s="53" t="inlineStr">
        <is>
          <t>Tom Reid - Package Manager</t>
        </is>
      </c>
      <c r="B57" s="53" t="str">
        <f>IF('Tom Reid'!A22="","",'Tom Reid'!A22)</f>
        <v>A1430</v>
      </c>
      <c r="C57" s="53" t="str">
        <f>IF('Tom Reid'!B22="","",'Tom Reid'!B22)</f>
        <v>Build package 43</v>
      </c>
      <c r="D57" s="54" t="str">
        <f>IF('Tom Reid'!P22="","",'Tom Reid'!P22)</f>
        <v>Not Started</v>
      </c>
      <c r="E57" s="55">
        <f>IF('Tom Reid'!R22="","",'Tom Reid'!R22)</f>
        <v>45527</v>
      </c>
      <c r="F57" s="55">
        <f>IF('Tom Reid'!Z22="","",'Tom Reid'!Z22)</f>
        <v>45548</v>
      </c>
      <c r="G57" s="55">
        <f>IF('Tom Reid'!C22="","",'Tom Reid'!C22)</f>
        <v>45527</v>
      </c>
      <c r="H57" s="55">
        <f>IF('Tom Reid'!D22="","",'Tom Reid'!D22)</f>
        <v>45548</v>
      </c>
      <c r="I57" s="56">
        <f>IF('Tom Reid'!F22="","",'Tom Reid'!F22)</f>
        <v>0</v>
      </c>
      <c r="J57" s="55" t="str">
        <f>IF('Tom Reid'!G22="","",'Tom Reid'!G22)</f>
        <v/>
      </c>
      <c r="K57" s="55" t="str">
        <f>IF('Tom Reid'!H22="","",'Tom Reid'!H22)</f>
        <v/>
      </c>
      <c r="L57" s="56" t="str">
        <f>IF('Tom Reid'!I22="","",'Tom Reid'!I22)</f>
        <v/>
      </c>
      <c r="M57" s="55" t="str">
        <f>IF('Tom Reid'!J22="","",'Tom Reid'!J22)</f>
        <v/>
      </c>
      <c r="N57" s="106">
        <f>IF('Tom Reid'!M22="","",'Tom Reid'!M22)</f>
        <v>0</v>
      </c>
      <c r="O57" s="57">
        <f>IF('Tom Reid'!N22="","",'Tom Reid'!N22)</f>
        <v>0</v>
      </c>
      <c r="P57" s="54" t="str">
        <f>IF('Tom Reid'!O22="","",'Tom Reid'!O22)</f>
        <v>Not changed yet</v>
      </c>
      <c r="Q57" s="53" t="str">
        <f>IF('Tom Reid'!K22="","",'Tom Reid'!K22)</f>
        <v/>
      </c>
      <c r="R57" s="58" t="str">
        <f>IF('Tom Reid'!L22="","",'Tom Reid'!L22)</f>
        <v/>
      </c>
      <c r="S57" s="54" t="str">
        <f>IF('Tom Reid'!X22=1,"Yes","")</f>
        <v/>
      </c>
    </row>
    <row r="58">
      <c r="A58" s="53" t="inlineStr">
        <is>
          <t>Tom Reid - Package Manager</t>
        </is>
      </c>
      <c r="B58" s="53" t="str">
        <f>IF('Tom Reid'!A23="","",'Tom Reid'!A23)</f>
        <v>A1450</v>
      </c>
      <c r="C58" s="53" t="str">
        <f>IF('Tom Reid'!B23="","",'Tom Reid'!B23)</f>
        <v>Build package 45</v>
      </c>
      <c r="D58" s="54" t="str">
        <f>IF('Tom Reid'!P23="","",'Tom Reid'!P23)</f>
        <v>Not Started</v>
      </c>
      <c r="E58" s="55">
        <f>IF('Tom Reid'!R23="","",'Tom Reid'!R23)</f>
        <v>45540</v>
      </c>
      <c r="F58" s="55">
        <f>IF('Tom Reid'!Z23="","",'Tom Reid'!Z23)</f>
        <v>45561</v>
      </c>
      <c r="G58" s="55">
        <f>IF('Tom Reid'!C23="","",'Tom Reid'!C23)</f>
        <v>45540</v>
      </c>
      <c r="H58" s="55">
        <f>IF('Tom Reid'!D23="","",'Tom Reid'!D23)</f>
        <v>45561</v>
      </c>
      <c r="I58" s="56">
        <f>IF('Tom Reid'!F23="","",'Tom Reid'!F23)</f>
        <v>0</v>
      </c>
      <c r="J58" s="55" t="str">
        <f>IF('Tom Reid'!G23="","",'Tom Reid'!G23)</f>
        <v/>
      </c>
      <c r="K58" s="55" t="str">
        <f>IF('Tom Reid'!H23="","",'Tom Reid'!H23)</f>
        <v/>
      </c>
      <c r="L58" s="56" t="str">
        <f>IF('Tom Reid'!I23="","",'Tom Reid'!I23)</f>
        <v/>
      </c>
      <c r="M58" s="55" t="str">
        <f>IF('Tom Reid'!J23="","",'Tom Reid'!J23)</f>
        <v/>
      </c>
      <c r="N58" s="106">
        <f>IF('Tom Reid'!M23="","",'Tom Reid'!M23)</f>
        <v>0</v>
      </c>
      <c r="O58" s="57">
        <f>IF('Tom Reid'!N23="","",'Tom Reid'!N23)</f>
        <v>0</v>
      </c>
      <c r="P58" s="54" t="str">
        <f>IF('Tom Reid'!O23="","",'Tom Reid'!O23)</f>
        <v>Not changed yet</v>
      </c>
      <c r="Q58" s="53" t="str">
        <f>IF('Tom Reid'!K23="","",'Tom Reid'!K23)</f>
        <v/>
      </c>
      <c r="R58" s="58" t="str">
        <f>IF('Tom Reid'!L23="","",'Tom Reid'!L23)</f>
        <v/>
      </c>
      <c r="S58" s="54" t="str">
        <f>IF('Tom Reid'!X23=1,"Yes","")</f>
        <v/>
      </c>
    </row>
    <row r="59">
      <c r="A59" s="53" t="inlineStr">
        <is>
          <t>Tom Reid - Package Manager</t>
        </is>
      </c>
      <c r="B59" s="53" t="str">
        <f>IF('Tom Reid'!A24="","",'Tom Reid'!A24)</f>
        <v>A1470</v>
      </c>
      <c r="C59" s="53" t="str">
        <f>IF('Tom Reid'!B24="","",'Tom Reid'!B24)</f>
        <v>Build package 47</v>
      </c>
      <c r="D59" s="54" t="str">
        <f>IF('Tom Reid'!P24="","",'Tom Reid'!P24)</f>
        <v>Not Started</v>
      </c>
      <c r="E59" s="55">
        <f>IF('Tom Reid'!R24="","",'Tom Reid'!R24)</f>
        <v>45551</v>
      </c>
      <c r="F59" s="55">
        <f>IF('Tom Reid'!Z24="","",'Tom Reid'!Z24)</f>
        <v>45558</v>
      </c>
      <c r="G59" s="55">
        <f>IF('Tom Reid'!C24="","",'Tom Reid'!C24)</f>
        <v>45551</v>
      </c>
      <c r="H59" s="55">
        <f>IF('Tom Reid'!D24="","",'Tom Reid'!D24)</f>
        <v>45558</v>
      </c>
      <c r="I59" s="56">
        <f>IF('Tom Reid'!F24="","",'Tom Reid'!F24)</f>
        <v>0</v>
      </c>
      <c r="J59" s="55" t="str">
        <f>IF('Tom Reid'!G24="","",'Tom Reid'!G24)</f>
        <v/>
      </c>
      <c r="K59" s="55" t="str">
        <f>IF('Tom Reid'!H24="","",'Tom Reid'!H24)</f>
        <v/>
      </c>
      <c r="L59" s="56" t="str">
        <f>IF('Tom Reid'!I24="","",'Tom Reid'!I24)</f>
        <v/>
      </c>
      <c r="M59" s="55" t="str">
        <f>IF('Tom Reid'!J24="","",'Tom Reid'!J24)</f>
        <v/>
      </c>
      <c r="N59" s="106">
        <f>IF('Tom Reid'!M24="","",'Tom Reid'!M24)</f>
        <v>0</v>
      </c>
      <c r="O59" s="57">
        <f>IF('Tom Reid'!N24="","",'Tom Reid'!N24)</f>
        <v>0</v>
      </c>
      <c r="P59" s="54" t="str">
        <f>IF('Tom Reid'!O24="","",'Tom Reid'!O24)</f>
        <v>Not changed yet</v>
      </c>
      <c r="Q59" s="53" t="str">
        <f>IF('Tom Reid'!K24="","",'Tom Reid'!K24)</f>
        <v/>
      </c>
      <c r="R59" s="58" t="str">
        <f>IF('Tom Reid'!L24="","",'Tom Reid'!L24)</f>
        <v/>
      </c>
      <c r="S59" s="54" t="str">
        <f>IF('Tom Reid'!X24=1,"Yes","")</f>
        <v/>
      </c>
    </row>
    <row r="60">
      <c r="A60" s="53" t="inlineStr">
        <is>
          <t>Tom Reid - Package Manager</t>
        </is>
      </c>
      <c r="B60" s="53" t="str">
        <f>IF('Tom Reid'!A25="","",'Tom Reid'!A25)</f>
        <v>A1490</v>
      </c>
      <c r="C60" s="53" t="str">
        <f>IF('Tom Reid'!B25="","",'Tom Reid'!B25)</f>
        <v>Build package 49</v>
      </c>
      <c r="D60" s="54" t="str">
        <f>IF('Tom Reid'!P25="","",'Tom Reid'!P25)</f>
        <v>Not Started</v>
      </c>
      <c r="E60" s="55">
        <f>IF('Tom Reid'!R25="","",'Tom Reid'!R25)</f>
        <v>45561</v>
      </c>
      <c r="F60" s="55">
        <f>IF('Tom Reid'!Z25="","",'Tom Reid'!Z25)</f>
        <v>45572</v>
      </c>
      <c r="G60" s="55">
        <f>IF('Tom Reid'!C25="","",'Tom Reid'!C25)</f>
        <v>45561</v>
      </c>
      <c r="H60" s="55">
        <f>IF('Tom Reid'!D25="","",'Tom Reid'!D25)</f>
        <v>45572</v>
      </c>
      <c r="I60" s="56">
        <f>IF('Tom Reid'!F25="","",'Tom Reid'!F25)</f>
        <v>0</v>
      </c>
      <c r="J60" s="55" t="str">
        <f>IF('Tom Reid'!G25="","",'Tom Reid'!G25)</f>
        <v/>
      </c>
      <c r="K60" s="55" t="str">
        <f>IF('Tom Reid'!H25="","",'Tom Reid'!H25)</f>
        <v/>
      </c>
      <c r="L60" s="56" t="str">
        <f>IF('Tom Reid'!I25="","",'Tom Reid'!I25)</f>
        <v/>
      </c>
      <c r="M60" s="55" t="str">
        <f>IF('Tom Reid'!J25="","",'Tom Reid'!J25)</f>
        <v/>
      </c>
      <c r="N60" s="106">
        <f>IF('Tom Reid'!M25="","",'Tom Reid'!M25)</f>
        <v>0</v>
      </c>
      <c r="O60" s="57">
        <f>IF('Tom Reid'!N25="","",'Tom Reid'!N25)</f>
        <v>0</v>
      </c>
      <c r="P60" s="54" t="str">
        <f>IF('Tom Reid'!O25="","",'Tom Reid'!O25)</f>
        <v>Not changed yet</v>
      </c>
      <c r="Q60" s="53" t="str">
        <f>IF('Tom Reid'!K25="","",'Tom Reid'!K25)</f>
        <v/>
      </c>
      <c r="R60" s="58" t="str">
        <f>IF('Tom Reid'!L25="","",'Tom Reid'!L25)</f>
        <v/>
      </c>
      <c r="S60" s="54" t="str">
        <f>IF('Tom Reid'!X25=1,"Yes","")</f>
        <v/>
      </c>
    </row>
    <row r="61">
      <c r="A61" s="53" t="inlineStr">
        <is>
          <t>Tom Reid - Package Manager</t>
        </is>
      </c>
      <c r="B61" s="53" t="str">
        <f>IF('Tom Reid'!A26="","",'Tom Reid'!A26)</f>
        <v>A1510</v>
      </c>
      <c r="C61" s="53" t="str">
        <f>IF('Tom Reid'!B26="","",'Tom Reid'!B26)</f>
        <v>Build package 51</v>
      </c>
      <c r="D61" s="54" t="str">
        <f>IF('Tom Reid'!P26="","",'Tom Reid'!P26)</f>
        <v>Not Started</v>
      </c>
      <c r="E61" s="55">
        <f>IF('Tom Reid'!R26="","",'Tom Reid'!R26)</f>
        <v>45568</v>
      </c>
      <c r="F61" s="55">
        <f>IF('Tom Reid'!Z26="","",'Tom Reid'!Z26)</f>
        <v>45572</v>
      </c>
      <c r="G61" s="55">
        <f>IF('Tom Reid'!C26="","",'Tom Reid'!C26)</f>
        <v>45568</v>
      </c>
      <c r="H61" s="55">
        <f>IF('Tom Reid'!D26="","",'Tom Reid'!D26)</f>
        <v>45572</v>
      </c>
      <c r="I61" s="56">
        <f>IF('Tom Reid'!F26="","",'Tom Reid'!F26)</f>
        <v>0</v>
      </c>
      <c r="J61" s="55" t="str">
        <f>IF('Tom Reid'!G26="","",'Tom Reid'!G26)</f>
        <v/>
      </c>
      <c r="K61" s="55" t="str">
        <f>IF('Tom Reid'!H26="","",'Tom Reid'!H26)</f>
        <v/>
      </c>
      <c r="L61" s="56" t="str">
        <f>IF('Tom Reid'!I26="","",'Tom Reid'!I26)</f>
        <v/>
      </c>
      <c r="M61" s="55" t="str">
        <f>IF('Tom Reid'!J26="","",'Tom Reid'!J26)</f>
        <v/>
      </c>
      <c r="N61" s="106">
        <f>IF('Tom Reid'!M26="","",'Tom Reid'!M26)</f>
        <v>0</v>
      </c>
      <c r="O61" s="57">
        <f>IF('Tom Reid'!N26="","",'Tom Reid'!N26)</f>
        <v>0</v>
      </c>
      <c r="P61" s="54" t="str">
        <f>IF('Tom Reid'!O26="","",'Tom Reid'!O26)</f>
        <v>Not changed yet</v>
      </c>
      <c r="Q61" s="53" t="str">
        <f>IF('Tom Reid'!K26="","",'Tom Reid'!K26)</f>
        <v/>
      </c>
      <c r="R61" s="58" t="str">
        <f>IF('Tom Reid'!L26="","",'Tom Reid'!L26)</f>
        <v/>
      </c>
      <c r="S61" s="54" t="str">
        <f>IF('Tom Reid'!X26=1,"Yes","")</f>
        <v/>
      </c>
    </row>
    <row r="62">
      <c r="A62" s="53" t="inlineStr">
        <is>
          <t>Tom Reid - Package Manager</t>
        </is>
      </c>
      <c r="B62" s="53" t="str">
        <f>IF('Tom Reid'!A27="","",'Tom Reid'!A27)</f>
        <v>A1530</v>
      </c>
      <c r="C62" s="53" t="str">
        <f>IF('Tom Reid'!B27="","",'Tom Reid'!B27)</f>
        <v>Build package 53</v>
      </c>
      <c r="D62" s="54" t="str">
        <f>IF('Tom Reid'!P27="","",'Tom Reid'!P27)</f>
        <v>Not Started</v>
      </c>
      <c r="E62" s="55">
        <f>IF('Tom Reid'!R27="","",'Tom Reid'!R27)</f>
        <v>45575</v>
      </c>
      <c r="F62" s="55">
        <f>IF('Tom Reid'!Z27="","",'Tom Reid'!Z27)</f>
        <v>45645</v>
      </c>
      <c r="G62" s="55">
        <f>IF('Tom Reid'!C27="","",'Tom Reid'!C27)</f>
        <v>45575</v>
      </c>
      <c r="H62" s="55">
        <f>IF('Tom Reid'!D27="","",'Tom Reid'!D27)</f>
        <v>45645</v>
      </c>
      <c r="I62" s="56">
        <f>IF('Tom Reid'!F27="","",'Tom Reid'!F27)</f>
        <v>0</v>
      </c>
      <c r="J62" s="55" t="str">
        <f>IF('Tom Reid'!G27="","",'Tom Reid'!G27)</f>
        <v/>
      </c>
      <c r="K62" s="55" t="str">
        <f>IF('Tom Reid'!H27="","",'Tom Reid'!H27)</f>
        <v/>
      </c>
      <c r="L62" s="56" t="str">
        <f>IF('Tom Reid'!I27="","",'Tom Reid'!I27)</f>
        <v/>
      </c>
      <c r="M62" s="55" t="str">
        <f>IF('Tom Reid'!J27="","",'Tom Reid'!J27)</f>
        <v/>
      </c>
      <c r="N62" s="106">
        <f>IF('Tom Reid'!M27="","",'Tom Reid'!M27)</f>
        <v>0</v>
      </c>
      <c r="O62" s="57">
        <f>IF('Tom Reid'!N27="","",'Tom Reid'!N27)</f>
        <v>0</v>
      </c>
      <c r="P62" s="54" t="str">
        <f>IF('Tom Reid'!O27="","",'Tom Reid'!O27)</f>
        <v>Not changed yet</v>
      </c>
      <c r="Q62" s="53" t="str">
        <f>IF('Tom Reid'!K27="","",'Tom Reid'!K27)</f>
        <v/>
      </c>
      <c r="R62" s="58" t="str">
        <f>IF('Tom Reid'!L27="","",'Tom Reid'!L27)</f>
        <v/>
      </c>
      <c r="S62" s="54" t="str">
        <f>IF('Tom Reid'!X27=1,"Yes","")</f>
        <v/>
      </c>
    </row>
    <row r="63">
      <c r="A63" s="53" t="inlineStr">
        <is>
          <t>Tom Reid - Package Manager</t>
        </is>
      </c>
      <c r="B63" s="53" t="str">
        <f>IF('Tom Reid'!A28="","",'Tom Reid'!A28)</f>
        <v>A1550</v>
      </c>
      <c r="C63" s="53" t="str">
        <f>IF('Tom Reid'!B28="","",'Tom Reid'!B28)</f>
        <v>Build package 55</v>
      </c>
      <c r="D63" s="54" t="str">
        <f>IF('Tom Reid'!P28="","",'Tom Reid'!P28)</f>
        <v>Not Started</v>
      </c>
      <c r="E63" s="55">
        <f>IF('Tom Reid'!R28="","",'Tom Reid'!R28)</f>
        <v>45611</v>
      </c>
      <c r="F63" s="55">
        <f>IF('Tom Reid'!Z28="","",'Tom Reid'!Z28)</f>
        <v>45622</v>
      </c>
      <c r="G63" s="55">
        <f>IF('Tom Reid'!C28="","",'Tom Reid'!C28)</f>
        <v>45611</v>
      </c>
      <c r="H63" s="55">
        <f>IF('Tom Reid'!D28="","",'Tom Reid'!D28)</f>
        <v>45622</v>
      </c>
      <c r="I63" s="56">
        <f>IF('Tom Reid'!F28="","",'Tom Reid'!F28)</f>
        <v>0</v>
      </c>
      <c r="J63" s="55" t="str">
        <f>IF('Tom Reid'!G28="","",'Tom Reid'!G28)</f>
        <v/>
      </c>
      <c r="K63" s="55" t="str">
        <f>IF('Tom Reid'!H28="","",'Tom Reid'!H28)</f>
        <v/>
      </c>
      <c r="L63" s="56" t="str">
        <f>IF('Tom Reid'!I28="","",'Tom Reid'!I28)</f>
        <v/>
      </c>
      <c r="M63" s="55" t="str">
        <f>IF('Tom Reid'!J28="","",'Tom Reid'!J28)</f>
        <v/>
      </c>
      <c r="N63" s="106">
        <f>IF('Tom Reid'!M28="","",'Tom Reid'!M28)</f>
        <v>0</v>
      </c>
      <c r="O63" s="57">
        <f>IF('Tom Reid'!N28="","",'Tom Reid'!N28)</f>
        <v>0</v>
      </c>
      <c r="P63" s="54" t="str">
        <f>IF('Tom Reid'!O28="","",'Tom Reid'!O28)</f>
        <v>Not changed yet</v>
      </c>
      <c r="Q63" s="53" t="str">
        <f>IF('Tom Reid'!K28="","",'Tom Reid'!K28)</f>
        <v/>
      </c>
      <c r="R63" s="58" t="str">
        <f>IF('Tom Reid'!L28="","",'Tom Reid'!L28)</f>
        <v/>
      </c>
      <c r="S63" s="54" t="str">
        <f>IF('Tom Reid'!X28=1,"Yes","")</f>
        <v/>
      </c>
    </row>
    <row r="64">
      <c r="A64" s="53" t="inlineStr">
        <is>
          <t>Tom Reid - Package Manager</t>
        </is>
      </c>
      <c r="B64" s="53" t="str">
        <f>IF('Tom Reid'!A29="","",'Tom Reid'!A29)</f>
        <v>A1570</v>
      </c>
      <c r="C64" s="53" t="str">
        <f>IF('Tom Reid'!B29="","",'Tom Reid'!B29)</f>
        <v>Build package 57</v>
      </c>
      <c r="D64" s="54" t="str">
        <f>IF('Tom Reid'!P29="","",'Tom Reid'!P29)</f>
        <v>Not Started</v>
      </c>
      <c r="E64" s="55">
        <f>IF('Tom Reid'!R29="","",'Tom Reid'!R29)</f>
        <v>45623</v>
      </c>
      <c r="F64" s="55">
        <f>IF('Tom Reid'!Z29="","",'Tom Reid'!Z29)</f>
        <v>45627</v>
      </c>
      <c r="G64" s="55">
        <f>IF('Tom Reid'!C29="","",'Tom Reid'!C29)</f>
        <v>45623</v>
      </c>
      <c r="H64" s="55">
        <f>IF('Tom Reid'!D29="","",'Tom Reid'!D29)</f>
        <v>45627</v>
      </c>
      <c r="I64" s="56">
        <f>IF('Tom Reid'!F29="","",'Tom Reid'!F29)</f>
        <v>0</v>
      </c>
      <c r="J64" s="55" t="str">
        <f>IF('Tom Reid'!G29="","",'Tom Reid'!G29)</f>
        <v/>
      </c>
      <c r="K64" s="55" t="str">
        <f>IF('Tom Reid'!H29="","",'Tom Reid'!H29)</f>
        <v/>
      </c>
      <c r="L64" s="56" t="str">
        <f>IF('Tom Reid'!I29="","",'Tom Reid'!I29)</f>
        <v/>
      </c>
      <c r="M64" s="55" t="str">
        <f>IF('Tom Reid'!J29="","",'Tom Reid'!J29)</f>
        <v/>
      </c>
      <c r="N64" s="106">
        <f>IF('Tom Reid'!M29="","",'Tom Reid'!M29)</f>
        <v>0</v>
      </c>
      <c r="O64" s="57">
        <f>IF('Tom Reid'!N29="","",'Tom Reid'!N29)</f>
        <v>0</v>
      </c>
      <c r="P64" s="54" t="str">
        <f>IF('Tom Reid'!O29="","",'Tom Reid'!O29)</f>
        <v>Not changed yet</v>
      </c>
      <c r="Q64" s="53" t="str">
        <f>IF('Tom Reid'!K29="","",'Tom Reid'!K29)</f>
        <v/>
      </c>
      <c r="R64" s="58" t="str">
        <f>IF('Tom Reid'!L29="","",'Tom Reid'!L29)</f>
        <v/>
      </c>
      <c r="S64" s="54" t="str">
        <f>IF('Tom Reid'!X29=1,"Yes","")</f>
        <v/>
      </c>
    </row>
  </sheetData>
  <sheetProtection selectLockedCells="0" selectUnlockedCells="0" sheet="1" objects="0" insertRows="1" insertHyperlinks="1" autoFilter="0" scenarios="0" formatColumns="0" deleteColumns="1" insertColumns="1" pivotTables="1" deleteRows="1" formatCells="1" formatRows="0" sort="0"/>
  <autoFilter ref="A4:S64"/>
  <conditionalFormatting sqref="A5:S64">
    <cfRule type="expression" priority="1" dxfId="7">
      <formula>$B5&lt;&gt;""</formula>
    </cfRule>
  </conditionalFormatting>
  <conditionalFormatting sqref="J5:M64">
    <cfRule type="expression" priority="2" dxfId="8">
      <formula>$S5="Yes"</formula>
    </cfRule>
  </conditionalFormatting>
  <conditionalFormatting sqref="Q5:R64">
    <cfRule type="expression" priority="3" dxfId="8">
      <formula>Q5&amp;R5&lt;&gt;""</formula>
    </cfRule>
  </conditionalFormatting>
  <conditionalFormatting sqref="N5:O64">
    <cfRule type="cellIs" priority="4" operator="greaterThan" dxfId="9">
      <formula>0</formula>
    </cfRule>
  </conditionalFormatting>
  <conditionalFormatting sqref="P5:P64">
    <cfRule type="expression" priority="5" dxfId="10">
      <formula>LEFT(P5,1)="✓"</formula>
    </cfRule>
    <cfRule type="expression" priority="6" dxfId="11">
      <formula>P5="Reason needed"</formula>
    </cfRule>
    <cfRule type="expression" priority="7" dxfId="11">
      <formula>P5="Start date needed"</formula>
    </cfRule>
    <cfRule type="expression" priority="8" dxfId="11">
      <formula>P5="Finish date needed"</formula>
    </cfRule>
    <cfRule type="expression" priority="9" dxfId="11">
      <formula>P5="Date in the future"</formula>
    </cfRule>
    <cfRule type="expression" priority="10" dxfId="11">
      <formula>P5="Not a date"</formula>
    </cfRule>
    <cfRule type="expression" priority="11" dxfId="6">
      <formula>P5="Not changed yet"</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B2:B31"/>
  <sheetViews>
    <sheetView showGridLines="0" workbookViewId="0">
      <selection activeCell="A1" sqref="A1"/>
    </sheetView>
  </sheetViews>
  <sheetFormatPr baseColWidth="8" defaultRowHeight="15"/>
  <cols>
    <col width="3" customWidth="1" min="1" max="1"/>
    <col width="110" customWidth="1" min="2" max="2"/>
  </cols>
  <sheetData>
    <row r="2">
      <c r="B2" s="107" t="inlineStr">
        <is>
          <t>How to use this workbook</t>
        </is>
      </c>
    </row>
    <row r="3">
      <c r="B3" s="108" t="inlineStr"/>
    </row>
    <row r="4">
      <c r="B4" s="109" t="inlineStr">
        <is>
          <t>To update your activities</t>
        </is>
      </c>
    </row>
    <row r="5">
      <c r="B5" s="108" t="inlineStr">
        <is>
          <t>1.  Go to the sheet with your name on its tab, or click your name on the Overview.</t>
        </is>
      </c>
    </row>
    <row r="6">
      <c r="B6" s="108" t="inlineStr">
        <is>
          <t>2.  Grey columns are the programme: start, finish, float and physical % complete. They are locked, for reference. Activities in bold red are critical.</t>
        </is>
      </c>
    </row>
    <row r="7">
      <c r="B7" s="108" t="inlineStr">
        <is>
          <t>3.  Fill in the white columns. What you change turns green.</t>
        </is>
      </c>
    </row>
    <row r="8">
      <c r="B8" s="108" t="inlineStr">
        <is>
          <t xml:space="preserve">        Actual start / Actual finish - hold the programme's dates: type over them with the date the work really started or finished. A date in the future is refused.</t>
        </is>
      </c>
    </row>
    <row r="9">
      <c r="B9" s="108" t="inlineStr">
        <is>
          <t xml:space="preserve">        Actual % complete - starts empty: how complete the activity actually is now, 0 to 100.</t>
        </is>
      </c>
    </row>
    <row r="10">
      <c r="B10" s="108" t="inlineStr">
        <is>
          <t xml:space="preserve">        Expected finish - only if the finish date is changing: when you now expect it to finish. Leave it empty if the programme's Finish still holds.</t>
        </is>
      </c>
    </row>
    <row r="11">
      <c r="B11" s="108" t="inlineStr">
        <is>
          <t xml:space="preserve">        Delay cause - if it is late or moving, pick the main cause from the arrow (or type your own); add a note on what is being done.</t>
        </is>
      </c>
    </row>
    <row r="12">
      <c r="B12" s="108" t="inlineStr">
        <is>
          <t>4.  Finish moves shows how far your dates move the finish; Days late is how far past the planned finish it now ends (calendar days).</t>
        </is>
      </c>
    </row>
    <row r="13">
      <c r="B13" s="108" t="inlineStr">
        <is>
          <t>5.  Look at the Check column. Anything in red still needs something from you:</t>
        </is>
      </c>
    </row>
    <row r="14">
      <c r="B14" s="108" t="inlineStr">
        <is>
          <t xml:space="preserve">        Reason needed - it finishes after the planned finish: give a delay cause or a note.</t>
        </is>
      </c>
    </row>
    <row r="15">
      <c r="B15" s="108" t="inlineStr">
        <is>
          <t xml:space="preserve">        Start date needed - it should have started by the data date, or you have given progress: give the actual start.</t>
        </is>
      </c>
    </row>
    <row r="16">
      <c r="B16" s="108" t="inlineStr">
        <is>
          <t xml:space="preserve">        Finish date needed - the finish date is already past: give the actual finish, or an expected finish.</t>
        </is>
      </c>
    </row>
    <row r="17">
      <c r="B17" s="108" t="inlineStr">
        <is>
          <t xml:space="preserve">        Date in the future - an actual date cannot be later than today.</t>
        </is>
      </c>
    </row>
    <row r="18">
      <c r="B18" s="108" t="inlineStr">
        <is>
          <t>6.  Save the file and send it back.</t>
        </is>
      </c>
    </row>
    <row r="19">
      <c r="B19" s="108" t="inlineStr"/>
    </row>
    <row r="20">
      <c r="B20" s="109" t="inlineStr">
        <is>
          <t>Resources and costs</t>
        </is>
      </c>
    </row>
    <row r="21">
      <c r="B21" s="108" t="inlineStr">
        <is>
          <t>This programme carries resource units and costs, so the Resources &amp; cost sheet lists every resource on your activities.</t>
        </is>
      </c>
    </row>
    <row r="22">
      <c r="B22" s="108" t="inlineStr">
        <is>
          <t xml:space="preserve">        Actual to date - type over it with the total booked so far, across all periods: hours for labour and plant, quantities for materials, money for costs (in USD, the currency P6 exports costs in - convert if you work in another).</t>
        </is>
      </c>
    </row>
    <row r="23">
      <c r="B23" s="108" t="inlineStr">
        <is>
          <t xml:space="preserve">        Remaining - what is still to come from now on. Re-estimate it if the work will take more or less than planned; once an activity has finished it is 0.</t>
        </is>
      </c>
    </row>
    <row r="24">
      <c r="B24" s="108" t="inlineStr">
        <is>
          <t xml:space="preserve">        At completion is actual plus remaining; Variance is the budget less that, so an overrun shows red and negative.</t>
        </is>
      </c>
    </row>
    <row r="25">
      <c r="B25" s="108" t="inlineStr">
        <is>
          <t xml:space="preserve">        Check: Start date needed - actuals on an activity with no actual start on your sheet. Remaining on finished work - set it to 0, or move it into the actual. Actuals not given - you started or progressed the activity but booked nothing to it. Actual reduced and Over budget are worth a second look.</t>
        </is>
      </c>
    </row>
    <row r="26">
      <c r="B26" s="108" t="inlineStr"/>
    </row>
    <row r="27">
      <c r="B27" s="109" t="inlineStr">
        <is>
          <t>For the planner</t>
        </is>
      </c>
    </row>
    <row r="28">
      <c r="B28" s="108" t="inlineStr">
        <is>
          <t>The Overview's drop-downs choose one person or everyone, and what to show: everything, what needs attention, what has not been updated yet, what is late or critical, or by status. Find narrows the list to an ID, a name or a WBS. The table shows whose update has come back; click a name to open their sheet, or ✎ in the list to go to that row.</t>
        </is>
      </c>
    </row>
    <row r="29">
      <c r="B29" s="108" t="inlineStr">
        <is>
          <t>All updates lists every activity with what was entered. When the workbooks come back, read them in the app (Progress Update, Apply progress): it checks every entry, merges everyone's files and creates one XER that brings every update into P6, notes included.</t>
        </is>
      </c>
    </row>
    <row r="30">
      <c r="B30" s="108" t="inlineStr">
        <is>
          <t>The sheets are protected without a password so formulas are not overwritten by accident. Review ▸ Unprotect Sheet removes it.</t>
        </is>
      </c>
    </row>
    <row r="31">
      <c r="B31" s="108" t="inlineStr">
        <is>
          <t>Figures struck through, or not following what is typed? Excel is calculating manually - it takes that from the first workbook it opened. Press F9 to update, or Formulas ▸ Calculation Options ▸ Automatic to keep it up to 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1"/>
  <sheetViews>
    <sheetView workbookViewId="0">
      <selection activeCell="A1" sqref="A1"/>
    </sheetView>
  </sheetViews>
  <sheetFormatPr baseColWidth="8" defaultRowHeight="15"/>
  <sheetData>
    <row r="1">
      <c r="A1" t="inlineStr">
        <is>
          <t>Person</t>
        </is>
      </c>
      <c r="B1" t="inlineStr">
        <is>
          <t>Sheet</t>
        </is>
      </c>
      <c r="C1" t="inlineStr">
        <is>
          <t>Row</t>
        </is>
      </c>
      <c r="D1" t="inlineStr">
        <is>
          <t>Activity ID</t>
        </is>
      </c>
      <c r="E1" t="inlineStr">
        <is>
          <t>Activity name</t>
        </is>
      </c>
      <c r="F1" t="inlineStr">
        <is>
          <t>WBS</t>
        </is>
      </c>
      <c r="G1" t="inlineStr">
        <is>
          <t>Status</t>
        </is>
      </c>
      <c r="H1" t="inlineStr">
        <is>
          <t>Start</t>
        </is>
      </c>
      <c r="I1" t="inlineStr">
        <is>
          <t>Finish</t>
        </is>
      </c>
      <c r="J1" t="inlineStr">
        <is>
          <t>Physical %</t>
        </is>
      </c>
      <c r="K1" t="inlineStr">
        <is>
          <t>Actual start</t>
        </is>
      </c>
      <c r="L1" t="inlineStr">
        <is>
          <t>Actual finish</t>
        </is>
      </c>
      <c r="M1" t="inlineStr">
        <is>
          <t>Actual %</t>
        </is>
      </c>
      <c r="N1" t="inlineStr">
        <is>
          <t>Expected finish</t>
        </is>
      </c>
      <c r="O1" t="inlineStr">
        <is>
          <t>Days late</t>
        </is>
      </c>
      <c r="P1" t="inlineStr">
        <is>
          <t>Check</t>
        </is>
      </c>
      <c r="Q1" t="inlineStr">
        <is>
          <t>Notes</t>
        </is>
      </c>
      <c r="R1" t="inlineStr">
        <is>
          <t>Changed</t>
        </is>
      </c>
      <c r="S1" t="inlineStr">
        <is>
          <t>Critical</t>
        </is>
      </c>
      <c r="T1" t="inlineStr">
        <is>
          <t>Person shown</t>
        </is>
      </c>
      <c r="U1" t="inlineStr">
        <is>
          <t>Shown</t>
        </is>
      </c>
      <c r="V1" t="inlineStr">
        <is>
          <t>Count</t>
        </is>
      </c>
      <c r="W1" t="inlineStr">
        <is>
          <t>Delay cause</t>
        </is>
      </c>
    </row>
    <row r="2">
      <c r="A2" t="inlineStr">
        <is>
          <t>Dan Lowe - Design Lead</t>
        </is>
      </c>
      <c r="B2" t="inlineStr">
        <is>
          <t>Dan Lowe</t>
        </is>
      </c>
      <c r="C2" t="n">
        <v>11</v>
      </c>
      <c r="D2" t="inlineStr">
        <is>
          <t>A1010</t>
        </is>
      </c>
      <c r="E2" t="inlineStr">
        <is>
          <t>Design package 01</t>
        </is>
      </c>
      <c r="F2" t="inlineStr">
        <is>
          <t>Engineering</t>
        </is>
      </c>
      <c r="G2" t="inlineStr">
        <is>
          <t>Completed</t>
        </is>
      </c>
      <c r="H2" s="110" t="n">
        <v>45296</v>
      </c>
      <c r="I2" s="110" t="n">
        <v>45307</v>
      </c>
      <c r="J2" t="n">
        <v>100</v>
      </c>
      <c r="K2" s="110">
        <f>IF('Dan Lowe'!G11="","",'Dan Lowe'!G11)</f>
        <v>45296</v>
      </c>
      <c r="L2" s="110">
        <f>IF('Dan Lowe'!H11="","",'Dan Lowe'!H11)</f>
        <v>45307</v>
      </c>
      <c r="M2" t="str">
        <f>IF('Dan Lowe'!I11="","",'Dan Lowe'!I11)</f>
        <v/>
      </c>
      <c r="N2" s="110" t="str">
        <f>IF('Dan Lowe'!J11="","",'Dan Lowe'!J11)</f>
        <v/>
      </c>
      <c r="O2">
        <f>IF('Dan Lowe'!N11="","",'Dan Lowe'!N11)</f>
        <v>0</v>
      </c>
      <c r="P2" t="str">
        <f>'Dan Lowe'!O11</f>
        <v>✓ Complete</v>
      </c>
      <c r="Q2" t="str">
        <f>IF('Dan Lowe'!L11="","",'Dan Lowe'!L11)</f>
        <v/>
      </c>
      <c r="R2">
        <f>'Dan Lowe'!X11</f>
        <v>0</v>
      </c>
      <c r="S2" t="str">
        <f>""</f>
        <v/>
      </c>
      <c r="T2">
        <f>IF(OR(Overview!$C$5="Everyone",A2=Overview!$C$5),1,0)</f>
        <v>1</v>
      </c>
      <c r="U2">
        <f>IF(AND(T2=1,CHOOSE(IFERROR(MATCH(Overview!$E$5,ShowList,0),1),TRUE,OR(P2="Reason needed",P2="Start date needed",P2="Finish date needed",P2="Date in the future"),R2=0,R2=1,AND(O2&lt;&gt;"",N(O2)&gt;0,L2=""),AND(S2="Yes",L2=""),K2="",AND(K2&lt;&gt;"",L2=""),L2&lt;&gt;""),OR(Overview!$G$5="",ISNUMBER(SEARCH(Overview!$G$5,D2&amp;" "&amp;E2&amp;" "&amp;F2)))),1,0)</f>
        <v>1</v>
      </c>
      <c r="V2">
        <f>U2</f>
        <v>1</v>
      </c>
      <c r="W2" t="str">
        <f>IF('Dan Lowe'!K11="","",'Dan Lowe'!K11)</f>
        <v/>
      </c>
    </row>
    <row r="3">
      <c r="A3" t="inlineStr">
        <is>
          <t>Dan Lowe - Design Lead</t>
        </is>
      </c>
      <c r="B3" t="inlineStr">
        <is>
          <t>Dan Lowe</t>
        </is>
      </c>
      <c r="C3" t="n">
        <v>12</v>
      </c>
      <c r="D3" t="inlineStr">
        <is>
          <t>A1020</t>
        </is>
      </c>
      <c r="E3" t="inlineStr">
        <is>
          <t>Design package 02</t>
        </is>
      </c>
      <c r="F3" t="inlineStr">
        <is>
          <t>Engineering</t>
        </is>
      </c>
      <c r="G3" t="inlineStr">
        <is>
          <t>Completed</t>
        </is>
      </c>
      <c r="H3" s="110" t="n">
        <v>45301</v>
      </c>
      <c r="I3" s="110" t="n">
        <v>45304</v>
      </c>
      <c r="J3" t="n">
        <v>100</v>
      </c>
      <c r="K3" s="110">
        <f>IF('Dan Lowe'!G12="","",'Dan Lowe'!G12)</f>
        <v>45301</v>
      </c>
      <c r="L3" s="110">
        <f>IF('Dan Lowe'!H12="","",'Dan Lowe'!H12)</f>
        <v>45304</v>
      </c>
      <c r="M3" t="str">
        <f>IF('Dan Lowe'!I12="","",'Dan Lowe'!I12)</f>
        <v/>
      </c>
      <c r="N3" s="110" t="str">
        <f>IF('Dan Lowe'!J12="","",'Dan Lowe'!J12)</f>
        <v/>
      </c>
      <c r="O3">
        <f>IF('Dan Lowe'!N12="","",'Dan Lowe'!N12)</f>
        <v>0</v>
      </c>
      <c r="P3" t="str">
        <f>'Dan Lowe'!O12</f>
        <v>✓ Complete</v>
      </c>
      <c r="Q3" t="str">
        <f>IF('Dan Lowe'!L12="","",'Dan Lowe'!L12)</f>
        <v/>
      </c>
      <c r="R3">
        <f>'Dan Lowe'!X12</f>
        <v>0</v>
      </c>
      <c r="S3" t="str">
        <f>""</f>
        <v/>
      </c>
      <c r="T3">
        <f>IF(OR(Overview!$C$5="Everyone",A3=Overview!$C$5),1,0)</f>
        <v>1</v>
      </c>
      <c r="U3">
        <f>IF(AND(T3=1,CHOOSE(IFERROR(MATCH(Overview!$E$5,ShowList,0),1),TRUE,OR(P3="Reason needed",P3="Start date needed",P3="Finish date needed",P3="Date in the future"),R3=0,R3=1,AND(O3&lt;&gt;"",N(O3)&gt;0,L3=""),AND(S3="Yes",L3=""),K3="",AND(K3&lt;&gt;"",L3=""),L3&lt;&gt;""),OR(Overview!$G$5="",ISNUMBER(SEARCH(Overview!$G$5,D3&amp;" "&amp;E3&amp;" "&amp;F3)))),1,0)</f>
        <v>1</v>
      </c>
      <c r="V3">
        <f>V2+U3</f>
        <v>2</v>
      </c>
      <c r="W3" t="str">
        <f>IF('Dan Lowe'!K12="","",'Dan Lowe'!K12)</f>
        <v/>
      </c>
    </row>
    <row r="4">
      <c r="A4" t="inlineStr">
        <is>
          <t>Dan Lowe - Design Lead</t>
        </is>
      </c>
      <c r="B4" t="inlineStr">
        <is>
          <t>Dan Lowe</t>
        </is>
      </c>
      <c r="C4" t="n">
        <v>13</v>
      </c>
      <c r="D4" t="inlineStr">
        <is>
          <t>A1030</t>
        </is>
      </c>
      <c r="E4" t="inlineStr">
        <is>
          <t>Design package 03</t>
        </is>
      </c>
      <c r="F4" t="inlineStr">
        <is>
          <t>Engineering</t>
        </is>
      </c>
      <c r="G4" t="inlineStr">
        <is>
          <t>Completed</t>
        </is>
      </c>
      <c r="H4" s="110" t="n">
        <v>45302</v>
      </c>
      <c r="I4" s="110" t="n">
        <v>45309</v>
      </c>
      <c r="J4" t="n">
        <v>100</v>
      </c>
      <c r="K4" s="110">
        <f>IF('Dan Lowe'!G13="","",'Dan Lowe'!G13)</f>
        <v>45302</v>
      </c>
      <c r="L4" s="110">
        <f>IF('Dan Lowe'!H13="","",'Dan Lowe'!H13)</f>
        <v>45309</v>
      </c>
      <c r="M4" t="str">
        <f>IF('Dan Lowe'!I13="","",'Dan Lowe'!I13)</f>
        <v/>
      </c>
      <c r="N4" s="110" t="str">
        <f>IF('Dan Lowe'!J13="","",'Dan Lowe'!J13)</f>
        <v/>
      </c>
      <c r="O4">
        <f>IF('Dan Lowe'!N13="","",'Dan Lowe'!N13)</f>
        <v>0</v>
      </c>
      <c r="P4" t="str">
        <f>'Dan Lowe'!O13</f>
        <v>✓ Complete</v>
      </c>
      <c r="Q4" t="str">
        <f>IF('Dan Lowe'!L13="","",'Dan Lowe'!L13)</f>
        <v/>
      </c>
      <c r="R4">
        <f>'Dan Lowe'!X13</f>
        <v>0</v>
      </c>
      <c r="S4" t="str">
        <f>""</f>
        <v/>
      </c>
      <c r="T4">
        <f>IF(OR(Overview!$C$5="Everyone",A4=Overview!$C$5),1,0)</f>
        <v>1</v>
      </c>
      <c r="U4">
        <f>IF(AND(T4=1,CHOOSE(IFERROR(MATCH(Overview!$E$5,ShowList,0),1),TRUE,OR(P4="Reason needed",P4="Start date needed",P4="Finish date needed",P4="Date in the future"),R4=0,R4=1,AND(O4&lt;&gt;"",N(O4)&gt;0,L4=""),AND(S4="Yes",L4=""),K4="",AND(K4&lt;&gt;"",L4=""),L4&lt;&gt;""),OR(Overview!$G$5="",ISNUMBER(SEARCH(Overview!$G$5,D4&amp;" "&amp;E4&amp;" "&amp;F4)))),1,0)</f>
        <v>1</v>
      </c>
      <c r="V4">
        <f>V3+U4</f>
        <v>3</v>
      </c>
      <c r="W4" t="str">
        <f>IF('Dan Lowe'!K13="","",'Dan Lowe'!K13)</f>
        <v/>
      </c>
    </row>
    <row r="5">
      <c r="A5" t="inlineStr">
        <is>
          <t>Dan Lowe - Design Lead</t>
        </is>
      </c>
      <c r="B5" t="inlineStr">
        <is>
          <t>Dan Lowe</t>
        </is>
      </c>
      <c r="C5" t="n">
        <v>14</v>
      </c>
      <c r="D5" t="inlineStr">
        <is>
          <t>A1040</t>
        </is>
      </c>
      <c r="E5" t="inlineStr">
        <is>
          <t>Design package 04</t>
        </is>
      </c>
      <c r="F5" t="inlineStr">
        <is>
          <t>Engineering</t>
        </is>
      </c>
      <c r="G5" t="inlineStr">
        <is>
          <t>Completed</t>
        </is>
      </c>
      <c r="H5" s="110" t="n">
        <v>45305</v>
      </c>
      <c r="I5" s="110" t="n">
        <v>45319</v>
      </c>
      <c r="J5" t="n">
        <v>100</v>
      </c>
      <c r="K5" s="110">
        <f>IF('Dan Lowe'!G14="","",'Dan Lowe'!G14)</f>
        <v>45305</v>
      </c>
      <c r="L5" s="110">
        <f>IF('Dan Lowe'!H14="","",'Dan Lowe'!H14)</f>
        <v>45319</v>
      </c>
      <c r="M5" t="str">
        <f>IF('Dan Lowe'!I14="","",'Dan Lowe'!I14)</f>
        <v/>
      </c>
      <c r="N5" s="110" t="str">
        <f>IF('Dan Lowe'!J14="","",'Dan Lowe'!J14)</f>
        <v/>
      </c>
      <c r="O5">
        <f>IF('Dan Lowe'!N14="","",'Dan Lowe'!N14)</f>
        <v>0</v>
      </c>
      <c r="P5" t="str">
        <f>'Dan Lowe'!O14</f>
        <v>✓ Complete</v>
      </c>
      <c r="Q5" t="str">
        <f>IF('Dan Lowe'!L14="","",'Dan Lowe'!L14)</f>
        <v/>
      </c>
      <c r="R5">
        <f>'Dan Lowe'!X14</f>
        <v>0</v>
      </c>
      <c r="S5" t="str">
        <f>""</f>
        <v/>
      </c>
      <c r="T5">
        <f>IF(OR(Overview!$C$5="Everyone",A5=Overview!$C$5),1,0)</f>
        <v>1</v>
      </c>
      <c r="U5">
        <f>IF(AND(T5=1,CHOOSE(IFERROR(MATCH(Overview!$E$5,ShowList,0),1),TRUE,OR(P5="Reason needed",P5="Start date needed",P5="Finish date needed",P5="Date in the future"),R5=0,R5=1,AND(O5&lt;&gt;"",N(O5)&gt;0,L5=""),AND(S5="Yes",L5=""),K5="",AND(K5&lt;&gt;"",L5=""),L5&lt;&gt;""),OR(Overview!$G$5="",ISNUMBER(SEARCH(Overview!$G$5,D5&amp;" "&amp;E5&amp;" "&amp;F5)))),1,0)</f>
        <v>1</v>
      </c>
      <c r="V5">
        <f>V4+U5</f>
        <v>4</v>
      </c>
      <c r="W5" t="str">
        <f>IF('Dan Lowe'!K14="","",'Dan Lowe'!K14)</f>
        <v/>
      </c>
    </row>
    <row r="6">
      <c r="A6" t="inlineStr">
        <is>
          <t>Dan Lowe - Design Lead</t>
        </is>
      </c>
      <c r="B6" t="inlineStr">
        <is>
          <t>Dan Lowe</t>
        </is>
      </c>
      <c r="C6" t="n">
        <v>15</v>
      </c>
      <c r="D6" t="inlineStr">
        <is>
          <t>A1050</t>
        </is>
      </c>
      <c r="E6" t="inlineStr">
        <is>
          <t>Design package 05</t>
        </is>
      </c>
      <c r="F6" t="inlineStr">
        <is>
          <t>Engineering</t>
        </is>
      </c>
      <c r="G6" t="inlineStr">
        <is>
          <t>Completed</t>
        </is>
      </c>
      <c r="H6" s="110" t="n">
        <v>45312</v>
      </c>
      <c r="I6" s="110" t="n">
        <v>45315</v>
      </c>
      <c r="J6" t="n">
        <v>100</v>
      </c>
      <c r="K6" s="110">
        <f>IF('Dan Lowe'!G15="","",'Dan Lowe'!G15)</f>
        <v>45312</v>
      </c>
      <c r="L6" s="110">
        <f>IF('Dan Lowe'!H15="","",'Dan Lowe'!H15)</f>
        <v>45315</v>
      </c>
      <c r="M6" t="str">
        <f>IF('Dan Lowe'!I15="","",'Dan Lowe'!I15)</f>
        <v/>
      </c>
      <c r="N6" s="110" t="str">
        <f>IF('Dan Lowe'!J15="","",'Dan Lowe'!J15)</f>
        <v/>
      </c>
      <c r="O6">
        <f>IF('Dan Lowe'!N15="","",'Dan Lowe'!N15)</f>
        <v>0</v>
      </c>
      <c r="P6" t="str">
        <f>'Dan Lowe'!O15</f>
        <v>✓ Complete</v>
      </c>
      <c r="Q6" t="str">
        <f>IF('Dan Lowe'!L15="","",'Dan Lowe'!L15)</f>
        <v/>
      </c>
      <c r="R6">
        <f>'Dan Lowe'!X15</f>
        <v>0</v>
      </c>
      <c r="S6" t="str">
        <f>""</f>
        <v/>
      </c>
      <c r="T6">
        <f>IF(OR(Overview!$C$5="Everyone",A6=Overview!$C$5),1,0)</f>
        <v>1</v>
      </c>
      <c r="U6">
        <f>IF(AND(T6=1,CHOOSE(IFERROR(MATCH(Overview!$E$5,ShowList,0),1),TRUE,OR(P6="Reason needed",P6="Start date needed",P6="Finish date needed",P6="Date in the future"),R6=0,R6=1,AND(O6&lt;&gt;"",N(O6)&gt;0,L6=""),AND(S6="Yes",L6=""),K6="",AND(K6&lt;&gt;"",L6=""),L6&lt;&gt;""),OR(Overview!$G$5="",ISNUMBER(SEARCH(Overview!$G$5,D6&amp;" "&amp;E6&amp;" "&amp;F6)))),1,0)</f>
        <v>1</v>
      </c>
      <c r="V6">
        <f>V5+U6</f>
        <v>5</v>
      </c>
      <c r="W6" t="str">
        <f>IF('Dan Lowe'!K15="","",'Dan Lowe'!K15)</f>
        <v/>
      </c>
    </row>
    <row r="7">
      <c r="A7" t="inlineStr">
        <is>
          <t>Dan Lowe - Design Lead</t>
        </is>
      </c>
      <c r="B7" t="inlineStr">
        <is>
          <t>Dan Lowe</t>
        </is>
      </c>
      <c r="C7" t="n">
        <v>16</v>
      </c>
      <c r="D7" t="inlineStr">
        <is>
          <t>A1060</t>
        </is>
      </c>
      <c r="E7" t="inlineStr">
        <is>
          <t>Design package 06</t>
        </is>
      </c>
      <c r="F7" t="inlineStr">
        <is>
          <t>Engineering</t>
        </is>
      </c>
      <c r="G7" t="inlineStr">
        <is>
          <t>Completed</t>
        </is>
      </c>
      <c r="H7" s="110" t="n">
        <v>45313</v>
      </c>
      <c r="I7" s="110" t="n">
        <v>45324</v>
      </c>
      <c r="J7" t="n">
        <v>100</v>
      </c>
      <c r="K7" s="110">
        <f>IF('Dan Lowe'!G16="","",'Dan Lowe'!G16)</f>
        <v>45313</v>
      </c>
      <c r="L7" s="110">
        <f>IF('Dan Lowe'!H16="","",'Dan Lowe'!H16)</f>
        <v>45324</v>
      </c>
      <c r="M7" t="str">
        <f>IF('Dan Lowe'!I16="","",'Dan Lowe'!I16)</f>
        <v/>
      </c>
      <c r="N7" s="110" t="str">
        <f>IF('Dan Lowe'!J16="","",'Dan Lowe'!J16)</f>
        <v/>
      </c>
      <c r="O7">
        <f>IF('Dan Lowe'!N16="","",'Dan Lowe'!N16)</f>
        <v>0</v>
      </c>
      <c r="P7" t="str">
        <f>'Dan Lowe'!O16</f>
        <v>✓ Complete</v>
      </c>
      <c r="Q7" t="str">
        <f>IF('Dan Lowe'!L16="","",'Dan Lowe'!L16)</f>
        <v/>
      </c>
      <c r="R7">
        <f>'Dan Lowe'!X16</f>
        <v>0</v>
      </c>
      <c r="S7" t="str">
        <f>""</f>
        <v/>
      </c>
      <c r="T7">
        <f>IF(OR(Overview!$C$5="Everyone",A7=Overview!$C$5),1,0)</f>
        <v>1</v>
      </c>
      <c r="U7">
        <f>IF(AND(T7=1,CHOOSE(IFERROR(MATCH(Overview!$E$5,ShowList,0),1),TRUE,OR(P7="Reason needed",P7="Start date needed",P7="Finish date needed",P7="Date in the future"),R7=0,R7=1,AND(O7&lt;&gt;"",N(O7)&gt;0,L7=""),AND(S7="Yes",L7=""),K7="",AND(K7&lt;&gt;"",L7=""),L7&lt;&gt;""),OR(Overview!$G$5="",ISNUMBER(SEARCH(Overview!$G$5,D7&amp;" "&amp;E7&amp;" "&amp;F7)))),1,0)</f>
        <v>1</v>
      </c>
      <c r="V7">
        <f>V6+U7</f>
        <v>6</v>
      </c>
      <c r="W7" t="str">
        <f>IF('Dan Lowe'!K16="","",'Dan Lowe'!K16)</f>
        <v/>
      </c>
    </row>
    <row r="8">
      <c r="A8" t="inlineStr">
        <is>
          <t>Dan Lowe - Design Lead</t>
        </is>
      </c>
      <c r="B8" t="inlineStr">
        <is>
          <t>Dan Lowe</t>
        </is>
      </c>
      <c r="C8" t="n">
        <v>17</v>
      </c>
      <c r="D8" t="inlineStr">
        <is>
          <t>A1070</t>
        </is>
      </c>
      <c r="E8" t="inlineStr">
        <is>
          <t>Design package 07</t>
        </is>
      </c>
      <c r="F8" t="inlineStr">
        <is>
          <t>Engineering</t>
        </is>
      </c>
      <c r="G8" t="inlineStr">
        <is>
          <t>Completed</t>
        </is>
      </c>
      <c r="H8" s="110" t="n">
        <v>45318</v>
      </c>
      <c r="I8" s="110" t="n">
        <v>45321</v>
      </c>
      <c r="J8" t="n">
        <v>100</v>
      </c>
      <c r="K8" s="110">
        <f>IF('Dan Lowe'!G17="","",'Dan Lowe'!G17)</f>
        <v>45318</v>
      </c>
      <c r="L8" s="110">
        <f>IF('Dan Lowe'!H17="","",'Dan Lowe'!H17)</f>
        <v>45321</v>
      </c>
      <c r="M8" t="str">
        <f>IF('Dan Lowe'!I17="","",'Dan Lowe'!I17)</f>
        <v/>
      </c>
      <c r="N8" s="110" t="str">
        <f>IF('Dan Lowe'!J17="","",'Dan Lowe'!J17)</f>
        <v/>
      </c>
      <c r="O8">
        <f>IF('Dan Lowe'!N17="","",'Dan Lowe'!N17)</f>
        <v>0</v>
      </c>
      <c r="P8" t="str">
        <f>'Dan Lowe'!O17</f>
        <v>✓ Complete</v>
      </c>
      <c r="Q8" t="str">
        <f>IF('Dan Lowe'!L17="","",'Dan Lowe'!L17)</f>
        <v/>
      </c>
      <c r="R8">
        <f>'Dan Lowe'!X17</f>
        <v>0</v>
      </c>
      <c r="S8" t="str">
        <f>""</f>
        <v/>
      </c>
      <c r="T8">
        <f>IF(OR(Overview!$C$5="Everyone",A8=Overview!$C$5),1,0)</f>
        <v>1</v>
      </c>
      <c r="U8">
        <f>IF(AND(T8=1,CHOOSE(IFERROR(MATCH(Overview!$E$5,ShowList,0),1),TRUE,OR(P8="Reason needed",P8="Start date needed",P8="Finish date needed",P8="Date in the future"),R8=0,R8=1,AND(O8&lt;&gt;"",N(O8)&gt;0,L8=""),AND(S8="Yes",L8=""),K8="",AND(K8&lt;&gt;"",L8=""),L8&lt;&gt;""),OR(Overview!$G$5="",ISNUMBER(SEARCH(Overview!$G$5,D8&amp;" "&amp;E8&amp;" "&amp;F8)))),1,0)</f>
        <v>1</v>
      </c>
      <c r="V8">
        <f>V7+U8</f>
        <v>7</v>
      </c>
      <c r="W8" t="str">
        <f>IF('Dan Lowe'!K17="","",'Dan Lowe'!K17)</f>
        <v/>
      </c>
    </row>
    <row r="9">
      <c r="A9" t="inlineStr">
        <is>
          <t>Dan Lowe - Design Lead</t>
        </is>
      </c>
      <c r="B9" t="inlineStr">
        <is>
          <t>Dan Lowe</t>
        </is>
      </c>
      <c r="C9" t="n">
        <v>18</v>
      </c>
      <c r="D9" t="inlineStr">
        <is>
          <t>A1080</t>
        </is>
      </c>
      <c r="E9" t="inlineStr">
        <is>
          <t>Design package 08</t>
        </is>
      </c>
      <c r="F9" t="inlineStr">
        <is>
          <t>Engineering</t>
        </is>
      </c>
      <c r="G9" t="inlineStr">
        <is>
          <t>Completed</t>
        </is>
      </c>
      <c r="H9" s="110" t="n">
        <v>45319</v>
      </c>
      <c r="I9" s="110" t="n">
        <v>45322</v>
      </c>
      <c r="J9" t="n">
        <v>100</v>
      </c>
      <c r="K9" s="110">
        <f>IF('Dan Lowe'!G18="","",'Dan Lowe'!G18)</f>
        <v>45319</v>
      </c>
      <c r="L9" s="110">
        <f>IF('Dan Lowe'!H18="","",'Dan Lowe'!H18)</f>
        <v>45322</v>
      </c>
      <c r="M9" t="str">
        <f>IF('Dan Lowe'!I18="","",'Dan Lowe'!I18)</f>
        <v/>
      </c>
      <c r="N9" s="110" t="str">
        <f>IF('Dan Lowe'!J18="","",'Dan Lowe'!J18)</f>
        <v/>
      </c>
      <c r="O9">
        <f>IF('Dan Lowe'!N18="","",'Dan Lowe'!N18)</f>
        <v>0</v>
      </c>
      <c r="P9" t="str">
        <f>'Dan Lowe'!O18</f>
        <v>✓ Complete</v>
      </c>
      <c r="Q9" t="str">
        <f>IF('Dan Lowe'!L18="","",'Dan Lowe'!L18)</f>
        <v/>
      </c>
      <c r="R9">
        <f>'Dan Lowe'!X18</f>
        <v>0</v>
      </c>
      <c r="S9" t="str">
        <f>""</f>
        <v/>
      </c>
      <c r="T9">
        <f>IF(OR(Overview!$C$5="Everyone",A9=Overview!$C$5),1,0)</f>
        <v>1</v>
      </c>
      <c r="U9">
        <f>IF(AND(T9=1,CHOOSE(IFERROR(MATCH(Overview!$E$5,ShowList,0),1),TRUE,OR(P9="Reason needed",P9="Start date needed",P9="Finish date needed",P9="Date in the future"),R9=0,R9=1,AND(O9&lt;&gt;"",N(O9)&gt;0,L9=""),AND(S9="Yes",L9=""),K9="",AND(K9&lt;&gt;"",L9=""),L9&lt;&gt;""),OR(Overview!$G$5="",ISNUMBER(SEARCH(Overview!$G$5,D9&amp;" "&amp;E9&amp;" "&amp;F9)))),1,0)</f>
        <v>1</v>
      </c>
      <c r="V9">
        <f>V8+U9</f>
        <v>8</v>
      </c>
      <c r="W9" t="str">
        <f>IF('Dan Lowe'!K18="","",'Dan Lowe'!K18)</f>
        <v/>
      </c>
    </row>
    <row r="10">
      <c r="A10" t="inlineStr">
        <is>
          <t>Dan Lowe - Design Lead</t>
        </is>
      </c>
      <c r="B10" t="inlineStr">
        <is>
          <t>Dan Lowe</t>
        </is>
      </c>
      <c r="C10" t="n">
        <v>19</v>
      </c>
      <c r="D10" t="inlineStr">
        <is>
          <t>A1090</t>
        </is>
      </c>
      <c r="E10" t="inlineStr">
        <is>
          <t>Design package 09</t>
        </is>
      </c>
      <c r="F10" t="inlineStr">
        <is>
          <t>Engineering</t>
        </is>
      </c>
      <c r="G10" t="inlineStr">
        <is>
          <t>Completed</t>
        </is>
      </c>
      <c r="H10" s="110" t="n">
        <v>45320</v>
      </c>
      <c r="I10" s="110" t="n">
        <v>45323</v>
      </c>
      <c r="J10" t="n">
        <v>100</v>
      </c>
      <c r="K10" s="110">
        <f>IF('Dan Lowe'!G19="","",'Dan Lowe'!G19)</f>
        <v>45320</v>
      </c>
      <c r="L10" s="110">
        <f>IF('Dan Lowe'!H19="","",'Dan Lowe'!H19)</f>
        <v>45323</v>
      </c>
      <c r="M10" t="str">
        <f>IF('Dan Lowe'!I19="","",'Dan Lowe'!I19)</f>
        <v/>
      </c>
      <c r="N10" s="110" t="str">
        <f>IF('Dan Lowe'!J19="","",'Dan Lowe'!J19)</f>
        <v/>
      </c>
      <c r="O10">
        <f>IF('Dan Lowe'!N19="","",'Dan Lowe'!N19)</f>
        <v>0</v>
      </c>
      <c r="P10" t="str">
        <f>'Dan Lowe'!O19</f>
        <v>✓ Complete</v>
      </c>
      <c r="Q10" t="str">
        <f>IF('Dan Lowe'!L19="","",'Dan Lowe'!L19)</f>
        <v/>
      </c>
      <c r="R10">
        <f>'Dan Lowe'!X19</f>
        <v>0</v>
      </c>
      <c r="S10" t="str">
        <f>""</f>
        <v/>
      </c>
      <c r="T10">
        <f>IF(OR(Overview!$C$5="Everyone",A10=Overview!$C$5),1,0)</f>
        <v>1</v>
      </c>
      <c r="U10">
        <f>IF(AND(T10=1,CHOOSE(IFERROR(MATCH(Overview!$E$5,ShowList,0),1),TRUE,OR(P10="Reason needed",P10="Start date needed",P10="Finish date needed",P10="Date in the future"),R10=0,R10=1,AND(O10&lt;&gt;"",N(O10)&gt;0,L10=""),AND(S10="Yes",L10=""),K10="",AND(K10&lt;&gt;"",L10=""),L10&lt;&gt;""),OR(Overview!$G$5="",ISNUMBER(SEARCH(Overview!$G$5,D10&amp;" "&amp;E10&amp;" "&amp;F10)))),1,0)</f>
        <v>1</v>
      </c>
      <c r="V10">
        <f>V9+U10</f>
        <v>9</v>
      </c>
      <c r="W10" t="str">
        <f>IF('Dan Lowe'!K19="","",'Dan Lowe'!K19)</f>
        <v/>
      </c>
    </row>
    <row r="11">
      <c r="A11" t="inlineStr">
        <is>
          <t>Dan Lowe - Design Lead</t>
        </is>
      </c>
      <c r="B11" t="inlineStr">
        <is>
          <t>Dan Lowe</t>
        </is>
      </c>
      <c r="C11" t="n">
        <v>20</v>
      </c>
      <c r="D11" t="inlineStr">
        <is>
          <t>A1100</t>
        </is>
      </c>
      <c r="E11" t="inlineStr">
        <is>
          <t>Design package 10</t>
        </is>
      </c>
      <c r="F11" t="inlineStr">
        <is>
          <t>Engineering</t>
        </is>
      </c>
      <c r="G11" t="inlineStr">
        <is>
          <t>Completed</t>
        </is>
      </c>
      <c r="H11" s="110" t="n">
        <v>45321</v>
      </c>
      <c r="I11" s="110" t="n">
        <v>45325</v>
      </c>
      <c r="J11" t="n">
        <v>100</v>
      </c>
      <c r="K11" s="110">
        <f>IF('Dan Lowe'!G20="","",'Dan Lowe'!G20)</f>
        <v>45321</v>
      </c>
      <c r="L11" s="110">
        <f>IF('Dan Lowe'!H20="","",'Dan Lowe'!H20)</f>
        <v>45325</v>
      </c>
      <c r="M11" t="str">
        <f>IF('Dan Lowe'!I20="","",'Dan Lowe'!I20)</f>
        <v/>
      </c>
      <c r="N11" s="110" t="str">
        <f>IF('Dan Lowe'!J20="","",'Dan Lowe'!J20)</f>
        <v/>
      </c>
      <c r="O11">
        <f>IF('Dan Lowe'!N20="","",'Dan Lowe'!N20)</f>
        <v>0</v>
      </c>
      <c r="P11" t="str">
        <f>'Dan Lowe'!O20</f>
        <v>✓ Complete</v>
      </c>
      <c r="Q11" t="str">
        <f>IF('Dan Lowe'!L20="","",'Dan Lowe'!L20)</f>
        <v/>
      </c>
      <c r="R11">
        <f>'Dan Lowe'!X20</f>
        <v>0</v>
      </c>
      <c r="S11" t="str">
        <f>""</f>
        <v/>
      </c>
      <c r="T11">
        <f>IF(OR(Overview!$C$5="Everyone",A11=Overview!$C$5),1,0)</f>
        <v>1</v>
      </c>
      <c r="U11">
        <f>IF(AND(T11=1,CHOOSE(IFERROR(MATCH(Overview!$E$5,ShowList,0),1),TRUE,OR(P11="Reason needed",P11="Start date needed",P11="Finish date needed",P11="Date in the future"),R11=0,R11=1,AND(O11&lt;&gt;"",N(O11)&gt;0,L11=""),AND(S11="Yes",L11=""),K11="",AND(K11&lt;&gt;"",L11=""),L11&lt;&gt;""),OR(Overview!$G$5="",ISNUMBER(SEARCH(Overview!$G$5,D11&amp;" "&amp;E11&amp;" "&amp;F11)))),1,0)</f>
        <v>1</v>
      </c>
      <c r="V11">
        <f>V10+U11</f>
        <v>10</v>
      </c>
      <c r="W11" t="str">
        <f>IF('Dan Lowe'!K20="","",'Dan Lowe'!K20)</f>
        <v/>
      </c>
    </row>
    <row r="12">
      <c r="A12" t="inlineStr">
        <is>
          <t>Dan Lowe - Design Lead</t>
        </is>
      </c>
      <c r="B12" t="inlineStr">
        <is>
          <t>Dan Lowe</t>
        </is>
      </c>
      <c r="C12" t="n">
        <v>21</v>
      </c>
      <c r="D12" t="inlineStr">
        <is>
          <t>A1110</t>
        </is>
      </c>
      <c r="E12" t="inlineStr">
        <is>
          <t>Design package 11</t>
        </is>
      </c>
      <c r="F12" t="inlineStr">
        <is>
          <t>Engineering</t>
        </is>
      </c>
      <c r="G12" t="inlineStr">
        <is>
          <t>Completed</t>
        </is>
      </c>
      <c r="H12" s="110" t="n">
        <v>45323</v>
      </c>
      <c r="I12" s="110" t="n">
        <v>45337</v>
      </c>
      <c r="J12" t="n">
        <v>100</v>
      </c>
      <c r="K12" s="110">
        <f>IF('Dan Lowe'!G21="","",'Dan Lowe'!G21)</f>
        <v>45323</v>
      </c>
      <c r="L12" s="110">
        <f>IF('Dan Lowe'!H21="","",'Dan Lowe'!H21)</f>
        <v>45337</v>
      </c>
      <c r="M12" t="str">
        <f>IF('Dan Lowe'!I21="","",'Dan Lowe'!I21)</f>
        <v/>
      </c>
      <c r="N12" s="110" t="str">
        <f>IF('Dan Lowe'!J21="","",'Dan Lowe'!J21)</f>
        <v/>
      </c>
      <c r="O12">
        <f>IF('Dan Lowe'!N21="","",'Dan Lowe'!N21)</f>
        <v>0</v>
      </c>
      <c r="P12" t="str">
        <f>'Dan Lowe'!O21</f>
        <v>✓ Complete</v>
      </c>
      <c r="Q12" t="str">
        <f>IF('Dan Lowe'!L21="","",'Dan Lowe'!L21)</f>
        <v/>
      </c>
      <c r="R12">
        <f>'Dan Lowe'!X21</f>
        <v>0</v>
      </c>
      <c r="S12" t="str">
        <f>""</f>
        <v/>
      </c>
      <c r="T12">
        <f>IF(OR(Overview!$C$5="Everyone",A12=Overview!$C$5),1,0)</f>
        <v>1</v>
      </c>
      <c r="U12">
        <f>IF(AND(T12=1,CHOOSE(IFERROR(MATCH(Overview!$E$5,ShowList,0),1),TRUE,OR(P12="Reason needed",P12="Start date needed",P12="Finish date needed",P12="Date in the future"),R12=0,R12=1,AND(O12&lt;&gt;"",N(O12)&gt;0,L12=""),AND(S12="Yes",L12=""),K12="",AND(K12&lt;&gt;"",L12=""),L12&lt;&gt;""),OR(Overview!$G$5="",ISNUMBER(SEARCH(Overview!$G$5,D12&amp;" "&amp;E12&amp;" "&amp;F12)))),1,0)</f>
        <v>1</v>
      </c>
      <c r="V12">
        <f>V11+U12</f>
        <v>11</v>
      </c>
      <c r="W12" t="str">
        <f>IF('Dan Lowe'!K21="","",'Dan Lowe'!K21)</f>
        <v/>
      </c>
    </row>
    <row r="13">
      <c r="A13" t="inlineStr">
        <is>
          <t>Dan Lowe - Design Lead</t>
        </is>
      </c>
      <c r="B13" t="inlineStr">
        <is>
          <t>Dan Lowe</t>
        </is>
      </c>
      <c r="C13" t="n">
        <v>22</v>
      </c>
      <c r="D13" t="inlineStr">
        <is>
          <t>A1120</t>
        </is>
      </c>
      <c r="E13" t="inlineStr">
        <is>
          <t>Design package 12</t>
        </is>
      </c>
      <c r="F13" t="inlineStr">
        <is>
          <t>Engineering</t>
        </is>
      </c>
      <c r="G13" t="inlineStr">
        <is>
          <t>Completed</t>
        </is>
      </c>
      <c r="H13" s="110" t="n">
        <v>45330</v>
      </c>
      <c r="I13" s="110" t="n">
        <v>45333</v>
      </c>
      <c r="J13" t="n">
        <v>100</v>
      </c>
      <c r="K13" s="110">
        <f>IF('Dan Lowe'!G22="","",'Dan Lowe'!G22)</f>
        <v>45330</v>
      </c>
      <c r="L13" s="110">
        <f>IF('Dan Lowe'!H22="","",'Dan Lowe'!H22)</f>
        <v>45333</v>
      </c>
      <c r="M13" t="str">
        <f>IF('Dan Lowe'!I22="","",'Dan Lowe'!I22)</f>
        <v/>
      </c>
      <c r="N13" s="110" t="str">
        <f>IF('Dan Lowe'!J22="","",'Dan Lowe'!J22)</f>
        <v/>
      </c>
      <c r="O13">
        <f>IF('Dan Lowe'!N22="","",'Dan Lowe'!N22)</f>
        <v>0</v>
      </c>
      <c r="P13" t="str">
        <f>'Dan Lowe'!O22</f>
        <v>✓ Complete</v>
      </c>
      <c r="Q13" t="str">
        <f>IF('Dan Lowe'!L22="","",'Dan Lowe'!L22)</f>
        <v/>
      </c>
      <c r="R13">
        <f>'Dan Lowe'!X22</f>
        <v>0</v>
      </c>
      <c r="S13" t="str">
        <f>""</f>
        <v/>
      </c>
      <c r="T13">
        <f>IF(OR(Overview!$C$5="Everyone",A13=Overview!$C$5),1,0)</f>
        <v>1</v>
      </c>
      <c r="U13">
        <f>IF(AND(T13=1,CHOOSE(IFERROR(MATCH(Overview!$E$5,ShowList,0),1),TRUE,OR(P13="Reason needed",P13="Start date needed",P13="Finish date needed",P13="Date in the future"),R13=0,R13=1,AND(O13&lt;&gt;"",N(O13)&gt;0,L13=""),AND(S13="Yes",L13=""),K13="",AND(K13&lt;&gt;"",L13=""),L13&lt;&gt;""),OR(Overview!$G$5="",ISNUMBER(SEARCH(Overview!$G$5,D13&amp;" "&amp;E13&amp;" "&amp;F13)))),1,0)</f>
        <v>1</v>
      </c>
      <c r="V13">
        <f>V12+U13</f>
        <v>12</v>
      </c>
      <c r="W13" t="str">
        <f>IF('Dan Lowe'!K22="","",'Dan Lowe'!K22)</f>
        <v/>
      </c>
    </row>
    <row r="14">
      <c r="A14" t="inlineStr">
        <is>
          <t>Dan Lowe - Design Lead</t>
        </is>
      </c>
      <c r="B14" t="inlineStr">
        <is>
          <t>Dan Lowe</t>
        </is>
      </c>
      <c r="C14" t="n">
        <v>23</v>
      </c>
      <c r="D14" t="inlineStr">
        <is>
          <t>A1130</t>
        </is>
      </c>
      <c r="E14" t="inlineStr">
        <is>
          <t>Design package 13</t>
        </is>
      </c>
      <c r="F14" t="inlineStr">
        <is>
          <t>Engineering</t>
        </is>
      </c>
      <c r="G14" t="inlineStr">
        <is>
          <t>Completed</t>
        </is>
      </c>
      <c r="H14" s="110" t="n">
        <v>45331</v>
      </c>
      <c r="I14" s="110" t="n">
        <v>45334</v>
      </c>
      <c r="J14" t="n">
        <v>100</v>
      </c>
      <c r="K14" s="110">
        <f>IF('Dan Lowe'!G23="","",'Dan Lowe'!G23)</f>
        <v>45331</v>
      </c>
      <c r="L14" s="110">
        <f>IF('Dan Lowe'!H23="","",'Dan Lowe'!H23)</f>
        <v>45334</v>
      </c>
      <c r="M14" t="str">
        <f>IF('Dan Lowe'!I23="","",'Dan Lowe'!I23)</f>
        <v/>
      </c>
      <c r="N14" s="110" t="str">
        <f>IF('Dan Lowe'!J23="","",'Dan Lowe'!J23)</f>
        <v/>
      </c>
      <c r="O14">
        <f>IF('Dan Lowe'!N23="","",'Dan Lowe'!N23)</f>
        <v>0</v>
      </c>
      <c r="P14" t="str">
        <f>'Dan Lowe'!O23</f>
        <v>✓ Complete</v>
      </c>
      <c r="Q14" t="str">
        <f>IF('Dan Lowe'!L23="","",'Dan Lowe'!L23)</f>
        <v/>
      </c>
      <c r="R14">
        <f>'Dan Lowe'!X23</f>
        <v>0</v>
      </c>
      <c r="S14" t="str">
        <f>""</f>
        <v/>
      </c>
      <c r="T14">
        <f>IF(OR(Overview!$C$5="Everyone",A14=Overview!$C$5),1,0)</f>
        <v>1</v>
      </c>
      <c r="U14">
        <f>IF(AND(T14=1,CHOOSE(IFERROR(MATCH(Overview!$E$5,ShowList,0),1),TRUE,OR(P14="Reason needed",P14="Start date needed",P14="Finish date needed",P14="Date in the future"),R14=0,R14=1,AND(O14&lt;&gt;"",N(O14)&gt;0,L14=""),AND(S14="Yes",L14=""),K14="",AND(K14&lt;&gt;"",L14=""),L14&lt;&gt;""),OR(Overview!$G$5="",ISNUMBER(SEARCH(Overview!$G$5,D14&amp;" "&amp;E14&amp;" "&amp;F14)))),1,0)</f>
        <v>1</v>
      </c>
      <c r="V14">
        <f>V13+U14</f>
        <v>13</v>
      </c>
      <c r="W14" t="str">
        <f>IF('Dan Lowe'!K23="","",'Dan Lowe'!K23)</f>
        <v/>
      </c>
    </row>
    <row r="15">
      <c r="A15" t="inlineStr">
        <is>
          <t>Dan Lowe - Design Lead</t>
        </is>
      </c>
      <c r="B15" t="inlineStr">
        <is>
          <t>Dan Lowe</t>
        </is>
      </c>
      <c r="C15" t="n">
        <v>24</v>
      </c>
      <c r="D15" t="inlineStr">
        <is>
          <t>A1140</t>
        </is>
      </c>
      <c r="E15" t="inlineStr">
        <is>
          <t>Design package 14</t>
        </is>
      </c>
      <c r="F15" t="inlineStr">
        <is>
          <t>Engineering</t>
        </is>
      </c>
      <c r="G15" t="inlineStr">
        <is>
          <t>Completed</t>
        </is>
      </c>
      <c r="H15" s="110" t="n">
        <v>45332</v>
      </c>
      <c r="I15" s="110" t="n">
        <v>45339</v>
      </c>
      <c r="J15" t="n">
        <v>100</v>
      </c>
      <c r="K15" s="110">
        <f>IF('Dan Lowe'!G24="","",'Dan Lowe'!G24)</f>
        <v>45332</v>
      </c>
      <c r="L15" s="110">
        <f>IF('Dan Lowe'!H24="","",'Dan Lowe'!H24)</f>
        <v>45339</v>
      </c>
      <c r="M15" t="str">
        <f>IF('Dan Lowe'!I24="","",'Dan Lowe'!I24)</f>
        <v/>
      </c>
      <c r="N15" s="110" t="str">
        <f>IF('Dan Lowe'!J24="","",'Dan Lowe'!J24)</f>
        <v/>
      </c>
      <c r="O15">
        <f>IF('Dan Lowe'!N24="","",'Dan Lowe'!N24)</f>
        <v>0</v>
      </c>
      <c r="P15" t="str">
        <f>'Dan Lowe'!O24</f>
        <v>✓ Complete</v>
      </c>
      <c r="Q15" t="str">
        <f>IF('Dan Lowe'!L24="","",'Dan Lowe'!L24)</f>
        <v/>
      </c>
      <c r="R15">
        <f>'Dan Lowe'!X24</f>
        <v>0</v>
      </c>
      <c r="S15" t="str">
        <f>""</f>
        <v/>
      </c>
      <c r="T15">
        <f>IF(OR(Overview!$C$5="Everyone",A15=Overview!$C$5),1,0)</f>
        <v>1</v>
      </c>
      <c r="U15">
        <f>IF(AND(T15=1,CHOOSE(IFERROR(MATCH(Overview!$E$5,ShowList,0),1),TRUE,OR(P15="Reason needed",P15="Start date needed",P15="Finish date needed",P15="Date in the future"),R15=0,R15=1,AND(O15&lt;&gt;"",N(O15)&gt;0,L15=""),AND(S15="Yes",L15=""),K15="",AND(K15&lt;&gt;"",L15=""),L15&lt;&gt;""),OR(Overview!$G$5="",ISNUMBER(SEARCH(Overview!$G$5,D15&amp;" "&amp;E15&amp;" "&amp;F15)))),1,0)</f>
        <v>1</v>
      </c>
      <c r="V15">
        <f>V14+U15</f>
        <v>14</v>
      </c>
      <c r="W15" t="str">
        <f>IF('Dan Lowe'!K24="","",'Dan Lowe'!K24)</f>
        <v/>
      </c>
    </row>
    <row r="16">
      <c r="A16" t="inlineStr">
        <is>
          <t>Dan Lowe - Design Lead</t>
        </is>
      </c>
      <c r="B16" t="inlineStr">
        <is>
          <t>Dan Lowe</t>
        </is>
      </c>
      <c r="C16" t="n">
        <v>25</v>
      </c>
      <c r="D16" t="inlineStr">
        <is>
          <t>A1150</t>
        </is>
      </c>
      <c r="E16" t="inlineStr">
        <is>
          <t>Design package 15</t>
        </is>
      </c>
      <c r="F16" t="inlineStr">
        <is>
          <t>Engineering</t>
        </is>
      </c>
      <c r="G16" t="inlineStr">
        <is>
          <t>Completed</t>
        </is>
      </c>
      <c r="H16" s="110" t="n">
        <v>45335</v>
      </c>
      <c r="I16" s="110" t="n">
        <v>45339</v>
      </c>
      <c r="J16" t="n">
        <v>100</v>
      </c>
      <c r="K16" s="110">
        <f>IF('Dan Lowe'!G25="","",'Dan Lowe'!G25)</f>
        <v>45335</v>
      </c>
      <c r="L16" s="110">
        <f>IF('Dan Lowe'!H25="","",'Dan Lowe'!H25)</f>
        <v>45339</v>
      </c>
      <c r="M16" t="str">
        <f>IF('Dan Lowe'!I25="","",'Dan Lowe'!I25)</f>
        <v/>
      </c>
      <c r="N16" s="110" t="str">
        <f>IF('Dan Lowe'!J25="","",'Dan Lowe'!J25)</f>
        <v/>
      </c>
      <c r="O16">
        <f>IF('Dan Lowe'!N25="","",'Dan Lowe'!N25)</f>
        <v>0</v>
      </c>
      <c r="P16" t="str">
        <f>'Dan Lowe'!O25</f>
        <v>✓ Complete</v>
      </c>
      <c r="Q16" t="str">
        <f>IF('Dan Lowe'!L25="","",'Dan Lowe'!L25)</f>
        <v/>
      </c>
      <c r="R16">
        <f>'Dan Lowe'!X25</f>
        <v>0</v>
      </c>
      <c r="S16" t="str">
        <f>""</f>
        <v/>
      </c>
      <c r="T16">
        <f>IF(OR(Overview!$C$5="Everyone",A16=Overview!$C$5),1,0)</f>
        <v>1</v>
      </c>
      <c r="U16">
        <f>IF(AND(T16=1,CHOOSE(IFERROR(MATCH(Overview!$E$5,ShowList,0),1),TRUE,OR(P16="Reason needed",P16="Start date needed",P16="Finish date needed",P16="Date in the future"),R16=0,R16=1,AND(O16&lt;&gt;"",N(O16)&gt;0,L16=""),AND(S16="Yes",L16=""),K16="",AND(K16&lt;&gt;"",L16=""),L16&lt;&gt;""),OR(Overview!$G$5="",ISNUMBER(SEARCH(Overview!$G$5,D16&amp;" "&amp;E16&amp;" "&amp;F16)))),1,0)</f>
        <v>1</v>
      </c>
      <c r="V16">
        <f>V15+U16</f>
        <v>15</v>
      </c>
      <c r="W16" t="str">
        <f>IF('Dan Lowe'!K25="","",'Dan Lowe'!K25)</f>
        <v/>
      </c>
    </row>
    <row r="17">
      <c r="A17" t="inlineStr">
        <is>
          <t>Dan Lowe - Design Lead</t>
        </is>
      </c>
      <c r="B17" t="inlineStr">
        <is>
          <t>Dan Lowe</t>
        </is>
      </c>
      <c r="C17" t="n">
        <v>26</v>
      </c>
      <c r="D17" t="inlineStr">
        <is>
          <t>A1160</t>
        </is>
      </c>
      <c r="E17" t="inlineStr">
        <is>
          <t>Design package 16</t>
        </is>
      </c>
      <c r="F17" t="inlineStr">
        <is>
          <t>Engineering</t>
        </is>
      </c>
      <c r="G17" t="inlineStr">
        <is>
          <t>Completed</t>
        </is>
      </c>
      <c r="H17" s="110" t="n">
        <v>45337</v>
      </c>
      <c r="I17" s="110" t="n">
        <v>45351</v>
      </c>
      <c r="J17" t="n">
        <v>100</v>
      </c>
      <c r="K17" s="110">
        <f>IF('Dan Lowe'!G26="","",'Dan Lowe'!G26)</f>
        <v>45337</v>
      </c>
      <c r="L17" s="110">
        <f>IF('Dan Lowe'!H26="","",'Dan Lowe'!H26)</f>
        <v>45351</v>
      </c>
      <c r="M17" t="str">
        <f>IF('Dan Lowe'!I26="","",'Dan Lowe'!I26)</f>
        <v/>
      </c>
      <c r="N17" s="110" t="str">
        <f>IF('Dan Lowe'!J26="","",'Dan Lowe'!J26)</f>
        <v/>
      </c>
      <c r="O17">
        <f>IF('Dan Lowe'!N26="","",'Dan Lowe'!N26)</f>
        <v>0</v>
      </c>
      <c r="P17" t="str">
        <f>'Dan Lowe'!O26</f>
        <v>✓ Complete</v>
      </c>
      <c r="Q17" t="str">
        <f>IF('Dan Lowe'!L26="","",'Dan Lowe'!L26)</f>
        <v/>
      </c>
      <c r="R17">
        <f>'Dan Lowe'!X26</f>
        <v>0</v>
      </c>
      <c r="S17" t="str">
        <f>""</f>
        <v/>
      </c>
      <c r="T17">
        <f>IF(OR(Overview!$C$5="Everyone",A17=Overview!$C$5),1,0)</f>
        <v>1</v>
      </c>
      <c r="U17">
        <f>IF(AND(T17=1,CHOOSE(IFERROR(MATCH(Overview!$E$5,ShowList,0),1),TRUE,OR(P17="Reason needed",P17="Start date needed",P17="Finish date needed",P17="Date in the future"),R17=0,R17=1,AND(O17&lt;&gt;"",N(O17)&gt;0,L17=""),AND(S17="Yes",L17=""),K17="",AND(K17&lt;&gt;"",L17=""),L17&lt;&gt;""),OR(Overview!$G$5="",ISNUMBER(SEARCH(Overview!$G$5,D17&amp;" "&amp;E17&amp;" "&amp;F17)))),1,0)</f>
        <v>1</v>
      </c>
      <c r="V17">
        <f>V16+U17</f>
        <v>16</v>
      </c>
      <c r="W17" t="str">
        <f>IF('Dan Lowe'!K26="","",'Dan Lowe'!K26)</f>
        <v/>
      </c>
    </row>
    <row r="18">
      <c r="A18" t="inlineStr">
        <is>
          <t>Dan Lowe - Design Lead</t>
        </is>
      </c>
      <c r="B18" t="inlineStr">
        <is>
          <t>Dan Lowe</t>
        </is>
      </c>
      <c r="C18" t="n">
        <v>27</v>
      </c>
      <c r="D18" t="inlineStr">
        <is>
          <t>A1170</t>
        </is>
      </c>
      <c r="E18" t="inlineStr">
        <is>
          <t>Design package 17</t>
        </is>
      </c>
      <c r="F18" t="inlineStr">
        <is>
          <t>Engineering</t>
        </is>
      </c>
      <c r="G18" t="inlineStr">
        <is>
          <t>Completed</t>
        </is>
      </c>
      <c r="H18" s="110" t="n">
        <v>45344</v>
      </c>
      <c r="I18" s="110" t="n">
        <v>45358</v>
      </c>
      <c r="J18" t="n">
        <v>100</v>
      </c>
      <c r="K18" s="110">
        <f>IF('Dan Lowe'!G27="","",'Dan Lowe'!G27)</f>
        <v>45344</v>
      </c>
      <c r="L18" s="110">
        <f>IF('Dan Lowe'!H27="","",'Dan Lowe'!H27)</f>
        <v>45358</v>
      </c>
      <c r="M18" t="str">
        <f>IF('Dan Lowe'!I27="","",'Dan Lowe'!I27)</f>
        <v/>
      </c>
      <c r="N18" s="110" t="str">
        <f>IF('Dan Lowe'!J27="","",'Dan Lowe'!J27)</f>
        <v/>
      </c>
      <c r="O18">
        <f>IF('Dan Lowe'!N27="","",'Dan Lowe'!N27)</f>
        <v>0</v>
      </c>
      <c r="P18" t="str">
        <f>'Dan Lowe'!O27</f>
        <v>✓ Complete</v>
      </c>
      <c r="Q18" t="str">
        <f>IF('Dan Lowe'!L27="","",'Dan Lowe'!L27)</f>
        <v/>
      </c>
      <c r="R18">
        <f>'Dan Lowe'!X27</f>
        <v>0</v>
      </c>
      <c r="S18" t="str">
        <f>""</f>
        <v/>
      </c>
      <c r="T18">
        <f>IF(OR(Overview!$C$5="Everyone",A18=Overview!$C$5),1,0)</f>
        <v>1</v>
      </c>
      <c r="U18">
        <f>IF(AND(T18=1,CHOOSE(IFERROR(MATCH(Overview!$E$5,ShowList,0),1),TRUE,OR(P18="Reason needed",P18="Start date needed",P18="Finish date needed",P18="Date in the future"),R18=0,R18=1,AND(O18&lt;&gt;"",N(O18)&gt;0,L18=""),AND(S18="Yes",L18=""),K18="",AND(K18&lt;&gt;"",L18=""),L18&lt;&gt;""),OR(Overview!$G$5="",ISNUMBER(SEARCH(Overview!$G$5,D18&amp;" "&amp;E18&amp;" "&amp;F18)))),1,0)</f>
        <v>1</v>
      </c>
      <c r="V18">
        <f>V17+U18</f>
        <v>17</v>
      </c>
      <c r="W18" t="str">
        <f>IF('Dan Lowe'!K27="","",'Dan Lowe'!K27)</f>
        <v/>
      </c>
    </row>
    <row r="19">
      <c r="A19" t="inlineStr">
        <is>
          <t>Dan Lowe - Design Lead</t>
        </is>
      </c>
      <c r="B19" t="inlineStr">
        <is>
          <t>Dan Lowe</t>
        </is>
      </c>
      <c r="C19" t="n">
        <v>28</v>
      </c>
      <c r="D19" t="inlineStr">
        <is>
          <t>A1180</t>
        </is>
      </c>
      <c r="E19" t="inlineStr">
        <is>
          <t>Design package 18</t>
        </is>
      </c>
      <c r="F19" t="inlineStr">
        <is>
          <t>Engineering</t>
        </is>
      </c>
      <c r="G19" t="inlineStr">
        <is>
          <t>Completed</t>
        </is>
      </c>
      <c r="H19" s="110" t="n">
        <v>45351</v>
      </c>
      <c r="I19" s="110" t="n">
        <v>45354</v>
      </c>
      <c r="J19" t="n">
        <v>100</v>
      </c>
      <c r="K19" s="110">
        <f>IF('Dan Lowe'!G28="","",'Dan Lowe'!G28)</f>
        <v>45351</v>
      </c>
      <c r="L19" s="110">
        <f>IF('Dan Lowe'!H28="","",'Dan Lowe'!H28)</f>
        <v>45354</v>
      </c>
      <c r="M19" t="str">
        <f>IF('Dan Lowe'!I28="","",'Dan Lowe'!I28)</f>
        <v/>
      </c>
      <c r="N19" s="110" t="str">
        <f>IF('Dan Lowe'!J28="","",'Dan Lowe'!J28)</f>
        <v/>
      </c>
      <c r="O19">
        <f>IF('Dan Lowe'!N28="","",'Dan Lowe'!N28)</f>
        <v>0</v>
      </c>
      <c r="P19" t="str">
        <f>'Dan Lowe'!O28</f>
        <v>✓ Complete</v>
      </c>
      <c r="Q19" t="str">
        <f>IF('Dan Lowe'!L28="","",'Dan Lowe'!L28)</f>
        <v/>
      </c>
      <c r="R19">
        <f>'Dan Lowe'!X28</f>
        <v>0</v>
      </c>
      <c r="S19" t="str">
        <f>""</f>
        <v/>
      </c>
      <c r="T19">
        <f>IF(OR(Overview!$C$5="Everyone",A19=Overview!$C$5),1,0)</f>
        <v>1</v>
      </c>
      <c r="U19">
        <f>IF(AND(T19=1,CHOOSE(IFERROR(MATCH(Overview!$E$5,ShowList,0),1),TRUE,OR(P19="Reason needed",P19="Start date needed",P19="Finish date needed",P19="Date in the future"),R19=0,R19=1,AND(O19&lt;&gt;"",N(O19)&gt;0,L19=""),AND(S19="Yes",L19=""),K19="",AND(K19&lt;&gt;"",L19=""),L19&lt;&gt;""),OR(Overview!$G$5="",ISNUMBER(SEARCH(Overview!$G$5,D19&amp;" "&amp;E19&amp;" "&amp;F19)))),1,0)</f>
        <v>1</v>
      </c>
      <c r="V19">
        <f>V18+U19</f>
        <v>18</v>
      </c>
      <c r="W19" t="str">
        <f>IF('Dan Lowe'!K28="","",'Dan Lowe'!K28)</f>
        <v/>
      </c>
    </row>
    <row r="20">
      <c r="A20" t="inlineStr">
        <is>
          <t>Dan Lowe - Design Lead</t>
        </is>
      </c>
      <c r="B20" t="inlineStr">
        <is>
          <t>Dan Lowe</t>
        </is>
      </c>
      <c r="C20" t="n">
        <v>29</v>
      </c>
      <c r="D20" t="inlineStr">
        <is>
          <t>A1190</t>
        </is>
      </c>
      <c r="E20" t="inlineStr">
        <is>
          <t>Design package 19</t>
        </is>
      </c>
      <c r="F20" t="inlineStr">
        <is>
          <t>Engineering</t>
        </is>
      </c>
      <c r="G20" t="inlineStr">
        <is>
          <t>Completed</t>
        </is>
      </c>
      <c r="H20" s="110" t="n">
        <v>45352</v>
      </c>
      <c r="I20" s="110" t="n">
        <v>45359</v>
      </c>
      <c r="J20" t="n">
        <v>100</v>
      </c>
      <c r="K20" s="110">
        <f>IF('Dan Lowe'!G29="","",'Dan Lowe'!G29)</f>
        <v>45352</v>
      </c>
      <c r="L20" s="110">
        <f>IF('Dan Lowe'!H29="","",'Dan Lowe'!H29)</f>
        <v>45359</v>
      </c>
      <c r="M20" t="str">
        <f>IF('Dan Lowe'!I29="","",'Dan Lowe'!I29)</f>
        <v/>
      </c>
      <c r="N20" s="110" t="str">
        <f>IF('Dan Lowe'!J29="","",'Dan Lowe'!J29)</f>
        <v/>
      </c>
      <c r="O20">
        <f>IF('Dan Lowe'!N29="","",'Dan Lowe'!N29)</f>
        <v>0</v>
      </c>
      <c r="P20" t="str">
        <f>'Dan Lowe'!O29</f>
        <v>✓ Complete</v>
      </c>
      <c r="Q20" t="str">
        <f>IF('Dan Lowe'!L29="","",'Dan Lowe'!L29)</f>
        <v/>
      </c>
      <c r="R20">
        <f>'Dan Lowe'!X29</f>
        <v>0</v>
      </c>
      <c r="S20" t="str">
        <f>""</f>
        <v/>
      </c>
      <c r="T20">
        <f>IF(OR(Overview!$C$5="Everyone",A20=Overview!$C$5),1,0)</f>
        <v>1</v>
      </c>
      <c r="U20">
        <f>IF(AND(T20=1,CHOOSE(IFERROR(MATCH(Overview!$E$5,ShowList,0),1),TRUE,OR(P20="Reason needed",P20="Start date needed",P20="Finish date needed",P20="Date in the future"),R20=0,R20=1,AND(O20&lt;&gt;"",N(O20)&gt;0,L20=""),AND(S20="Yes",L20=""),K20="",AND(K20&lt;&gt;"",L20=""),L20&lt;&gt;""),OR(Overview!$G$5="",ISNUMBER(SEARCH(Overview!$G$5,D20&amp;" "&amp;E20&amp;" "&amp;F20)))),1,0)</f>
        <v>1</v>
      </c>
      <c r="V20">
        <f>V19+U20</f>
        <v>19</v>
      </c>
      <c r="W20" t="str">
        <f>IF('Dan Lowe'!K29="","",'Dan Lowe'!K29)</f>
        <v/>
      </c>
    </row>
    <row r="21">
      <c r="A21" t="inlineStr">
        <is>
          <t>Priya Menon - Project Manager</t>
        </is>
      </c>
      <c r="B21" t="inlineStr">
        <is>
          <t>Priya Menon</t>
        </is>
      </c>
      <c r="C21" t="n">
        <v>11</v>
      </c>
      <c r="D21" t="inlineStr">
        <is>
          <t>A1000</t>
        </is>
      </c>
      <c r="E21" t="inlineStr">
        <is>
          <t>Design package 00</t>
        </is>
      </c>
      <c r="F21" t="inlineStr">
        <is>
          <t>Engineering</t>
        </is>
      </c>
      <c r="G21" t="inlineStr">
        <is>
          <t>Completed</t>
        </is>
      </c>
      <c r="H21" s="110" t="n">
        <v>45293</v>
      </c>
      <c r="I21" s="110" t="n">
        <v>45300</v>
      </c>
      <c r="J21" t="n">
        <v>100</v>
      </c>
      <c r="K21" s="110">
        <f>IF('Priya Menon'!G11="","",'Priya Menon'!G11)</f>
        <v>45293</v>
      </c>
      <c r="L21" s="110">
        <f>IF('Priya Menon'!H11="","",'Priya Menon'!H11)</f>
        <v>45300</v>
      </c>
      <c r="M21" t="str">
        <f>IF('Priya Menon'!I11="","",'Priya Menon'!I11)</f>
        <v/>
      </c>
      <c r="N21" s="110" t="str">
        <f>IF('Priya Menon'!J11="","",'Priya Menon'!J11)</f>
        <v/>
      </c>
      <c r="O21">
        <f>IF('Priya Menon'!N11="","",'Priya Menon'!N11)</f>
        <v>0</v>
      </c>
      <c r="P21" t="str">
        <f>'Priya Menon'!O11</f>
        <v>✓ Complete</v>
      </c>
      <c r="Q21" t="str">
        <f>IF('Priya Menon'!L11="","",'Priya Menon'!L11)</f>
        <v/>
      </c>
      <c r="R21">
        <f>'Priya Menon'!X11</f>
        <v>0</v>
      </c>
      <c r="S21" t="str">
        <f>""</f>
        <v/>
      </c>
      <c r="T21">
        <f>IF(OR(Overview!$C$5="Everyone",A21=Overview!$C$5),1,0)</f>
        <v>1</v>
      </c>
      <c r="U21">
        <f>IF(AND(T21=1,CHOOSE(IFERROR(MATCH(Overview!$E$5,ShowList,0),1),TRUE,OR(P21="Reason needed",P21="Start date needed",P21="Finish date needed",P21="Date in the future"),R21=0,R21=1,AND(O21&lt;&gt;"",N(O21)&gt;0,L21=""),AND(S21="Yes",L21=""),K21="",AND(K21&lt;&gt;"",L21=""),L21&lt;&gt;""),OR(Overview!$G$5="",ISNUMBER(SEARCH(Overview!$G$5,D21&amp;" "&amp;E21&amp;" "&amp;F21)))),1,0)</f>
        <v>1</v>
      </c>
      <c r="V21">
        <f>V20+U21</f>
        <v>20</v>
      </c>
      <c r="W21" t="str">
        <f>IF('Priya Menon'!K11="","",'Priya Menon'!K11)</f>
        <v/>
      </c>
    </row>
    <row r="22">
      <c r="A22" t="inlineStr">
        <is>
          <t>Priya Menon - Project Manager</t>
        </is>
      </c>
      <c r="B22" t="inlineStr">
        <is>
          <t>Priya Menon</t>
        </is>
      </c>
      <c r="C22" t="n">
        <v>13</v>
      </c>
      <c r="D22" t="inlineStr">
        <is>
          <t>A1590</t>
        </is>
      </c>
      <c r="E22" t="inlineStr">
        <is>
          <t>Build package 59</t>
        </is>
      </c>
      <c r="F22" t="inlineStr">
        <is>
          <t>Construction</t>
        </is>
      </c>
      <c r="G22" t="inlineStr">
        <is>
          <t>Not Started</t>
        </is>
      </c>
      <c r="H22" s="110" t="n">
        <v>45660</v>
      </c>
      <c r="I22" s="110" t="n">
        <v>45681</v>
      </c>
      <c r="J22" t="n">
        <v>0</v>
      </c>
      <c r="K22" s="110" t="str">
        <f>IF('Priya Menon'!G13="","",'Priya Menon'!G13)</f>
        <v/>
      </c>
      <c r="L22" s="110" t="str">
        <f>IF('Priya Menon'!H13="","",'Priya Menon'!H13)</f>
        <v/>
      </c>
      <c r="M22" t="str">
        <f>IF('Priya Menon'!I13="","",'Priya Menon'!I13)</f>
        <v/>
      </c>
      <c r="N22" s="110" t="str">
        <f>IF('Priya Menon'!J13="","",'Priya Menon'!J13)</f>
        <v/>
      </c>
      <c r="O22">
        <f>IF('Priya Menon'!N13="","",'Priya Menon'!N13)</f>
        <v>0</v>
      </c>
      <c r="P22" t="str">
        <f>'Priya Menon'!O13</f>
        <v>Not changed yet</v>
      </c>
      <c r="Q22" t="str">
        <f>IF('Priya Menon'!L13="","",'Priya Menon'!L13)</f>
        <v/>
      </c>
      <c r="R22">
        <f>'Priya Menon'!X13</f>
        <v>0</v>
      </c>
      <c r="S22" t="str">
        <f>""</f>
        <v/>
      </c>
      <c r="T22">
        <f>IF(OR(Overview!$C$5="Everyone",A22=Overview!$C$5),1,0)</f>
        <v>1</v>
      </c>
      <c r="U22">
        <f>IF(AND(T22=1,CHOOSE(IFERROR(MATCH(Overview!$E$5,ShowList,0),1),TRUE,OR(P22="Reason needed",P22="Start date needed",P22="Finish date needed",P22="Date in the future"),R22=0,R22=1,AND(O22&lt;&gt;"",N(O22)&gt;0,L22=""),AND(S22="Yes",L22=""),K22="",AND(K22&lt;&gt;"",L22=""),L22&lt;&gt;""),OR(Overview!$G$5="",ISNUMBER(SEARCH(Overview!$G$5,D22&amp;" "&amp;E22&amp;" "&amp;F22)))),1,0)</f>
        <v>1</v>
      </c>
      <c r="V22">
        <f>V21+U22</f>
        <v>21</v>
      </c>
      <c r="W22" t="str">
        <f>IF('Priya Menon'!K13="","",'Priya Menon'!K13)</f>
        <v/>
      </c>
    </row>
    <row r="23">
      <c r="A23" t="inlineStr">
        <is>
          <t>Sara Moss - Site Manager</t>
        </is>
      </c>
      <c r="B23" t="inlineStr">
        <is>
          <t>Sara Moss</t>
        </is>
      </c>
      <c r="C23" t="n">
        <v>11</v>
      </c>
      <c r="D23" t="inlineStr">
        <is>
          <t>A1200</t>
        </is>
      </c>
      <c r="E23" t="inlineStr">
        <is>
          <t>Build package 20</t>
        </is>
      </c>
      <c r="F23" t="inlineStr">
        <is>
          <t>Construction</t>
        </is>
      </c>
      <c r="G23" t="inlineStr">
        <is>
          <t>Completed</t>
        </is>
      </c>
      <c r="H23" s="110" t="n">
        <v>45355</v>
      </c>
      <c r="I23" s="110" t="n">
        <v>45369</v>
      </c>
      <c r="J23" t="n">
        <v>100</v>
      </c>
      <c r="K23" s="110">
        <f>IF('Sara Moss'!G11="","",'Sara Moss'!G11)</f>
        <v>45355</v>
      </c>
      <c r="L23" s="110">
        <f>IF('Sara Moss'!H11="","",'Sara Moss'!H11)</f>
        <v>45369</v>
      </c>
      <c r="M23" t="str">
        <f>IF('Sara Moss'!I11="","",'Sara Moss'!I11)</f>
        <v/>
      </c>
      <c r="N23" s="110" t="str">
        <f>IF('Sara Moss'!J11="","",'Sara Moss'!J11)</f>
        <v/>
      </c>
      <c r="O23">
        <f>IF('Sara Moss'!N11="","",'Sara Moss'!N11)</f>
        <v>0</v>
      </c>
      <c r="P23" t="str">
        <f>'Sara Moss'!O11</f>
        <v>✓ Complete</v>
      </c>
      <c r="Q23" t="str">
        <f>IF('Sara Moss'!L11="","",'Sara Moss'!L11)</f>
        <v/>
      </c>
      <c r="R23">
        <f>'Sara Moss'!X11</f>
        <v>0</v>
      </c>
      <c r="S23" t="str">
        <f>""</f>
        <v/>
      </c>
      <c r="T23">
        <f>IF(OR(Overview!$C$5="Everyone",A23=Overview!$C$5),1,0)</f>
        <v>1</v>
      </c>
      <c r="U23">
        <f>IF(AND(T23=1,CHOOSE(IFERROR(MATCH(Overview!$E$5,ShowList,0),1),TRUE,OR(P23="Reason needed",P23="Start date needed",P23="Finish date needed",P23="Date in the future"),R23=0,R23=1,AND(O23&lt;&gt;"",N(O23)&gt;0,L23=""),AND(S23="Yes",L23=""),K23="",AND(K23&lt;&gt;"",L23=""),L23&lt;&gt;""),OR(Overview!$G$5="",ISNUMBER(SEARCH(Overview!$G$5,D23&amp;" "&amp;E23&amp;" "&amp;F23)))),1,0)</f>
        <v>1</v>
      </c>
      <c r="V23">
        <f>V22+U23</f>
        <v>22</v>
      </c>
      <c r="W23" t="str">
        <f>IF('Sara Moss'!K11="","",'Sara Moss'!K11)</f>
        <v/>
      </c>
    </row>
    <row r="24">
      <c r="A24" t="inlineStr">
        <is>
          <t>Sara Moss - Site Manager</t>
        </is>
      </c>
      <c r="B24" t="inlineStr">
        <is>
          <t>Sara Moss</t>
        </is>
      </c>
      <c r="C24" t="n">
        <v>12</v>
      </c>
      <c r="D24" t="inlineStr">
        <is>
          <t>A1220</t>
        </is>
      </c>
      <c r="E24" t="inlineStr">
        <is>
          <t>Build package 22</t>
        </is>
      </c>
      <c r="F24" t="inlineStr">
        <is>
          <t>Construction</t>
        </is>
      </c>
      <c r="G24" t="inlineStr">
        <is>
          <t>Completed</t>
        </is>
      </c>
      <c r="H24" s="110" t="n">
        <v>45369</v>
      </c>
      <c r="I24" s="110" t="n">
        <v>45383</v>
      </c>
      <c r="J24" t="n">
        <v>100</v>
      </c>
      <c r="K24" s="110">
        <f>IF('Sara Moss'!G12="","",'Sara Moss'!G12)</f>
        <v>45369</v>
      </c>
      <c r="L24" s="110">
        <f>IF('Sara Moss'!H12="","",'Sara Moss'!H12)</f>
        <v>45383</v>
      </c>
      <c r="M24" t="str">
        <f>IF('Sara Moss'!I12="","",'Sara Moss'!I12)</f>
        <v/>
      </c>
      <c r="N24" s="110" t="str">
        <f>IF('Sara Moss'!J12="","",'Sara Moss'!J12)</f>
        <v/>
      </c>
      <c r="O24">
        <f>IF('Sara Moss'!N12="","",'Sara Moss'!N12)</f>
        <v>0</v>
      </c>
      <c r="P24" t="str">
        <f>'Sara Moss'!O12</f>
        <v>✓ Complete</v>
      </c>
      <c r="Q24" t="str">
        <f>IF('Sara Moss'!L12="","",'Sara Moss'!L12)</f>
        <v/>
      </c>
      <c r="R24">
        <f>'Sara Moss'!X12</f>
        <v>0</v>
      </c>
      <c r="S24" t="str">
        <f>""</f>
        <v/>
      </c>
      <c r="T24">
        <f>IF(OR(Overview!$C$5="Everyone",A24=Overview!$C$5),1,0)</f>
        <v>1</v>
      </c>
      <c r="U24">
        <f>IF(AND(T24=1,CHOOSE(IFERROR(MATCH(Overview!$E$5,ShowList,0),1),TRUE,OR(P24="Reason needed",P24="Start date needed",P24="Finish date needed",P24="Date in the future"),R24=0,R24=1,AND(O24&lt;&gt;"",N(O24)&gt;0,L24=""),AND(S24="Yes",L24=""),K24="",AND(K24&lt;&gt;"",L24=""),L24&lt;&gt;""),OR(Overview!$G$5="",ISNUMBER(SEARCH(Overview!$G$5,D24&amp;" "&amp;E24&amp;" "&amp;F24)))),1,0)</f>
        <v>1</v>
      </c>
      <c r="V24">
        <f>V23+U24</f>
        <v>23</v>
      </c>
      <c r="W24" t="str">
        <f>IF('Sara Moss'!K12="","",'Sara Moss'!K12)</f>
        <v/>
      </c>
    </row>
    <row r="25">
      <c r="A25" t="inlineStr">
        <is>
          <t>Sara Moss - Site Manager</t>
        </is>
      </c>
      <c r="B25" t="inlineStr">
        <is>
          <t>Sara Moss</t>
        </is>
      </c>
      <c r="C25" t="n">
        <v>13</v>
      </c>
      <c r="D25" t="inlineStr">
        <is>
          <t>A1240</t>
        </is>
      </c>
      <c r="E25" t="inlineStr">
        <is>
          <t>Build package 24</t>
        </is>
      </c>
      <c r="F25" t="inlineStr">
        <is>
          <t>Construction</t>
        </is>
      </c>
      <c r="G25" t="inlineStr">
        <is>
          <t>Completed</t>
        </is>
      </c>
      <c r="H25" s="110" t="n">
        <v>45381</v>
      </c>
      <c r="I25" s="110" t="n">
        <v>45451</v>
      </c>
      <c r="J25" t="n">
        <v>100</v>
      </c>
      <c r="K25" s="110">
        <f>IF('Sara Moss'!G13="","",'Sara Moss'!G13)</f>
        <v>45381</v>
      </c>
      <c r="L25" s="110">
        <f>IF('Sara Moss'!H13="","",'Sara Moss'!H13)</f>
        <v>45451</v>
      </c>
      <c r="M25" t="str">
        <f>IF('Sara Moss'!I13="","",'Sara Moss'!I13)</f>
        <v/>
      </c>
      <c r="N25" s="110" t="str">
        <f>IF('Sara Moss'!J13="","",'Sara Moss'!J13)</f>
        <v/>
      </c>
      <c r="O25">
        <f>IF('Sara Moss'!N13="","",'Sara Moss'!N13)</f>
        <v>0</v>
      </c>
      <c r="P25" t="str">
        <f>'Sara Moss'!O13</f>
        <v>✓ Complete</v>
      </c>
      <c r="Q25" t="str">
        <f>IF('Sara Moss'!L13="","",'Sara Moss'!L13)</f>
        <v/>
      </c>
      <c r="R25">
        <f>'Sara Moss'!X13</f>
        <v>0</v>
      </c>
      <c r="S25" t="str">
        <f>""</f>
        <v/>
      </c>
      <c r="T25">
        <f>IF(OR(Overview!$C$5="Everyone",A25=Overview!$C$5),1,0)</f>
        <v>1</v>
      </c>
      <c r="U25">
        <f>IF(AND(T25=1,CHOOSE(IFERROR(MATCH(Overview!$E$5,ShowList,0),1),TRUE,OR(P25="Reason needed",P25="Start date needed",P25="Finish date needed",P25="Date in the future"),R25=0,R25=1,AND(O25&lt;&gt;"",N(O25)&gt;0,L25=""),AND(S25="Yes",L25=""),K25="",AND(K25&lt;&gt;"",L25=""),L25&lt;&gt;""),OR(Overview!$G$5="",ISNUMBER(SEARCH(Overview!$G$5,D25&amp;" "&amp;E25&amp;" "&amp;F25)))),1,0)</f>
        <v>1</v>
      </c>
      <c r="V25">
        <f>V24+U25</f>
        <v>24</v>
      </c>
      <c r="W25" t="str">
        <f>IF('Sara Moss'!K13="","",'Sara Moss'!K13)</f>
        <v/>
      </c>
    </row>
    <row r="26">
      <c r="A26" t="inlineStr">
        <is>
          <t>Sara Moss - Site Manager</t>
        </is>
      </c>
      <c r="B26" t="inlineStr">
        <is>
          <t>Sara Moss</t>
        </is>
      </c>
      <c r="C26" t="n">
        <v>14</v>
      </c>
      <c r="D26" t="inlineStr">
        <is>
          <t>A1260</t>
        </is>
      </c>
      <c r="E26" t="inlineStr">
        <is>
          <t>Build package 26</t>
        </is>
      </c>
      <c r="F26" t="inlineStr">
        <is>
          <t>Construction</t>
        </is>
      </c>
      <c r="G26" t="inlineStr">
        <is>
          <t>Completed</t>
        </is>
      </c>
      <c r="H26" s="110" t="n">
        <v>45421</v>
      </c>
      <c r="I26" s="110" t="n">
        <v>45428</v>
      </c>
      <c r="J26" t="n">
        <v>100</v>
      </c>
      <c r="K26" s="110">
        <f>IF('Sara Moss'!G14="","",'Sara Moss'!G14)</f>
        <v>45421</v>
      </c>
      <c r="L26" s="110">
        <f>IF('Sara Moss'!H14="","",'Sara Moss'!H14)</f>
        <v>45428</v>
      </c>
      <c r="M26" t="str">
        <f>IF('Sara Moss'!I14="","",'Sara Moss'!I14)</f>
        <v/>
      </c>
      <c r="N26" s="110" t="str">
        <f>IF('Sara Moss'!J14="","",'Sara Moss'!J14)</f>
        <v/>
      </c>
      <c r="O26">
        <f>IF('Sara Moss'!N14="","",'Sara Moss'!N14)</f>
        <v>0</v>
      </c>
      <c r="P26" t="str">
        <f>'Sara Moss'!O14</f>
        <v>✓ Complete</v>
      </c>
      <c r="Q26" t="str">
        <f>IF('Sara Moss'!L14="","",'Sara Moss'!L14)</f>
        <v/>
      </c>
      <c r="R26">
        <f>'Sara Moss'!X14</f>
        <v>0</v>
      </c>
      <c r="S26" t="str">
        <f>""</f>
        <v/>
      </c>
      <c r="T26">
        <f>IF(OR(Overview!$C$5="Everyone",A26=Overview!$C$5),1,0)</f>
        <v>1</v>
      </c>
      <c r="U26">
        <f>IF(AND(T26=1,CHOOSE(IFERROR(MATCH(Overview!$E$5,ShowList,0),1),TRUE,OR(P26="Reason needed",P26="Start date needed",P26="Finish date needed",P26="Date in the future"),R26=0,R26=1,AND(O26&lt;&gt;"",N(O26)&gt;0,L26=""),AND(S26="Yes",L26=""),K26="",AND(K26&lt;&gt;"",L26=""),L26&lt;&gt;""),OR(Overview!$G$5="",ISNUMBER(SEARCH(Overview!$G$5,D26&amp;" "&amp;E26&amp;" "&amp;F26)))),1,0)</f>
        <v>1</v>
      </c>
      <c r="V26">
        <f>V25+U26</f>
        <v>25</v>
      </c>
      <c r="W26" t="str">
        <f>IF('Sara Moss'!K14="","",'Sara Moss'!K14)</f>
        <v/>
      </c>
    </row>
    <row r="27">
      <c r="A27" t="inlineStr">
        <is>
          <t>Sara Moss - Site Manager</t>
        </is>
      </c>
      <c r="B27" t="inlineStr">
        <is>
          <t>Sara Moss</t>
        </is>
      </c>
      <c r="C27" t="n">
        <v>15</v>
      </c>
      <c r="D27" t="inlineStr">
        <is>
          <t>A1280</t>
        </is>
      </c>
      <c r="E27" t="inlineStr">
        <is>
          <t>Build package 28</t>
        </is>
      </c>
      <c r="F27" t="inlineStr">
        <is>
          <t>Construction</t>
        </is>
      </c>
      <c r="G27" t="inlineStr">
        <is>
          <t>Completed</t>
        </is>
      </c>
      <c r="H27" s="110" t="n">
        <v>45426</v>
      </c>
      <c r="I27" s="110" t="n">
        <v>45447</v>
      </c>
      <c r="J27" t="n">
        <v>100</v>
      </c>
      <c r="K27" s="110">
        <f>IF('Sara Moss'!G15="","",'Sara Moss'!G15)</f>
        <v>45426</v>
      </c>
      <c r="L27" s="110">
        <f>IF('Sara Moss'!H15="","",'Sara Moss'!H15)</f>
        <v>45447</v>
      </c>
      <c r="M27" t="str">
        <f>IF('Sara Moss'!I15="","",'Sara Moss'!I15)</f>
        <v/>
      </c>
      <c r="N27" s="110" t="str">
        <f>IF('Sara Moss'!J15="","",'Sara Moss'!J15)</f>
        <v/>
      </c>
      <c r="O27">
        <f>IF('Sara Moss'!N15="","",'Sara Moss'!N15)</f>
        <v>0</v>
      </c>
      <c r="P27" t="str">
        <f>'Sara Moss'!O15</f>
        <v>✓ Complete</v>
      </c>
      <c r="Q27" t="str">
        <f>IF('Sara Moss'!L15="","",'Sara Moss'!L15)</f>
        <v/>
      </c>
      <c r="R27">
        <f>'Sara Moss'!X15</f>
        <v>0</v>
      </c>
      <c r="S27" t="str">
        <f>""</f>
        <v/>
      </c>
      <c r="T27">
        <f>IF(OR(Overview!$C$5="Everyone",A27=Overview!$C$5),1,0)</f>
        <v>1</v>
      </c>
      <c r="U27">
        <f>IF(AND(T27=1,CHOOSE(IFERROR(MATCH(Overview!$E$5,ShowList,0),1),TRUE,OR(P27="Reason needed",P27="Start date needed",P27="Finish date needed",P27="Date in the future"),R27=0,R27=1,AND(O27&lt;&gt;"",N(O27)&gt;0,L27=""),AND(S27="Yes",L27=""),K27="",AND(K27&lt;&gt;"",L27=""),L27&lt;&gt;""),OR(Overview!$G$5="",ISNUMBER(SEARCH(Overview!$G$5,D27&amp;" "&amp;E27&amp;" "&amp;F27)))),1,0)</f>
        <v>1</v>
      </c>
      <c r="V27">
        <f>V26+U27</f>
        <v>26</v>
      </c>
      <c r="W27" t="str">
        <f>IF('Sara Moss'!K15="","",'Sara Moss'!K15)</f>
        <v/>
      </c>
    </row>
    <row r="28">
      <c r="A28" t="inlineStr">
        <is>
          <t>Sara Moss - Site Manager</t>
        </is>
      </c>
      <c r="B28" t="inlineStr">
        <is>
          <t>Sara Moss</t>
        </is>
      </c>
      <c r="C28" t="n">
        <v>16</v>
      </c>
      <c r="D28" t="inlineStr">
        <is>
          <t>A1300</t>
        </is>
      </c>
      <c r="E28" t="inlineStr">
        <is>
          <t>Build package 30</t>
        </is>
      </c>
      <c r="F28" t="inlineStr">
        <is>
          <t>Construction</t>
        </is>
      </c>
      <c r="G28" t="inlineStr">
        <is>
          <t>Completed</t>
        </is>
      </c>
      <c r="H28" s="110" t="n">
        <v>45437</v>
      </c>
      <c r="I28" s="110" t="n">
        <v>45451</v>
      </c>
      <c r="J28" t="n">
        <v>100</v>
      </c>
      <c r="K28" s="110">
        <f>IF('Sara Moss'!G16="","",'Sara Moss'!G16)</f>
        <v>45437</v>
      </c>
      <c r="L28" s="110">
        <f>IF('Sara Moss'!H16="","",'Sara Moss'!H16)</f>
        <v>45451</v>
      </c>
      <c r="M28" t="str">
        <f>IF('Sara Moss'!I16="","",'Sara Moss'!I16)</f>
        <v/>
      </c>
      <c r="N28" s="110" t="str">
        <f>IF('Sara Moss'!J16="","",'Sara Moss'!J16)</f>
        <v/>
      </c>
      <c r="O28">
        <f>IF('Sara Moss'!N16="","",'Sara Moss'!N16)</f>
        <v>0</v>
      </c>
      <c r="P28" t="str">
        <f>'Sara Moss'!O16</f>
        <v>✓ Complete</v>
      </c>
      <c r="Q28" t="str">
        <f>IF('Sara Moss'!L16="","",'Sara Moss'!L16)</f>
        <v/>
      </c>
      <c r="R28">
        <f>'Sara Moss'!X16</f>
        <v>0</v>
      </c>
      <c r="S28" t="str">
        <f>""</f>
        <v/>
      </c>
      <c r="T28">
        <f>IF(OR(Overview!$C$5="Everyone",A28=Overview!$C$5),1,0)</f>
        <v>1</v>
      </c>
      <c r="U28">
        <f>IF(AND(T28=1,CHOOSE(IFERROR(MATCH(Overview!$E$5,ShowList,0),1),TRUE,OR(P28="Reason needed",P28="Start date needed",P28="Finish date needed",P28="Date in the future"),R28=0,R28=1,AND(O28&lt;&gt;"",N(O28)&gt;0,L28=""),AND(S28="Yes",L28=""),K28="",AND(K28&lt;&gt;"",L28=""),L28&lt;&gt;""),OR(Overview!$G$5="",ISNUMBER(SEARCH(Overview!$G$5,D28&amp;" "&amp;E28&amp;" "&amp;F28)))),1,0)</f>
        <v>1</v>
      </c>
      <c r="V28">
        <f>V27+U28</f>
        <v>27</v>
      </c>
      <c r="W28" t="str">
        <f>IF('Sara Moss'!K16="","",'Sara Moss'!K16)</f>
        <v/>
      </c>
    </row>
    <row r="29">
      <c r="A29" t="inlineStr">
        <is>
          <t>Sara Moss - Site Manager</t>
        </is>
      </c>
      <c r="B29" t="inlineStr">
        <is>
          <t>Sara Moss</t>
        </is>
      </c>
      <c r="C29" t="n">
        <v>17</v>
      </c>
      <c r="D29" t="inlineStr">
        <is>
          <t>A1320</t>
        </is>
      </c>
      <c r="E29" t="inlineStr">
        <is>
          <t>Build package 32</t>
        </is>
      </c>
      <c r="F29" t="inlineStr">
        <is>
          <t>Construction</t>
        </is>
      </c>
      <c r="G29" t="inlineStr">
        <is>
          <t>In Progress</t>
        </is>
      </c>
      <c r="H29" s="110" t="n">
        <v>45447</v>
      </c>
      <c r="I29" s="110" t="n">
        <v>45454</v>
      </c>
      <c r="J29" t="n">
        <v>80</v>
      </c>
      <c r="K29" s="110">
        <f>IF('Sara Moss'!G17="","",'Sara Moss'!G17)</f>
        <v>45447</v>
      </c>
      <c r="L29" s="110" t="str">
        <f>IF('Sara Moss'!H17="","",'Sara Moss'!H17)</f>
        <v/>
      </c>
      <c r="M29" t="str">
        <f>IF('Sara Moss'!I17="","",'Sara Moss'!I17)</f>
        <v/>
      </c>
      <c r="N29" s="110" t="str">
        <f>IF('Sara Moss'!J17="","",'Sara Moss'!J17)</f>
        <v/>
      </c>
      <c r="O29">
        <f>IF('Sara Moss'!N17="","",'Sara Moss'!N17)</f>
        <v>0</v>
      </c>
      <c r="P29" t="str">
        <f>'Sara Moss'!O17</f>
        <v>Finish date needed</v>
      </c>
      <c r="Q29" t="str">
        <f>IF('Sara Moss'!L17="","",'Sara Moss'!L17)</f>
        <v/>
      </c>
      <c r="R29">
        <f>'Sara Moss'!X17</f>
        <v>0</v>
      </c>
      <c r="S29" t="inlineStr">
        <is>
          <t>Yes</t>
        </is>
      </c>
      <c r="T29">
        <f>IF(OR(Overview!$C$5="Everyone",A29=Overview!$C$5),1,0)</f>
        <v>1</v>
      </c>
      <c r="U29">
        <f>IF(AND(T29=1,CHOOSE(IFERROR(MATCH(Overview!$E$5,ShowList,0),1),TRUE,OR(P29="Reason needed",P29="Start date needed",P29="Finish date needed",P29="Date in the future"),R29=0,R29=1,AND(O29&lt;&gt;"",N(O29)&gt;0,L29=""),AND(S29="Yes",L29=""),K29="",AND(K29&lt;&gt;"",L29=""),L29&lt;&gt;""),OR(Overview!$G$5="",ISNUMBER(SEARCH(Overview!$G$5,D29&amp;" "&amp;E29&amp;" "&amp;F29)))),1,0)</f>
        <v>1</v>
      </c>
      <c r="V29">
        <f>V28+U29</f>
        <v>28</v>
      </c>
      <c r="W29" t="str">
        <f>IF('Sara Moss'!K17="","",'Sara Moss'!K17)</f>
        <v/>
      </c>
    </row>
    <row r="30">
      <c r="A30" t="inlineStr">
        <is>
          <t>Sara Moss - Site Manager</t>
        </is>
      </c>
      <c r="B30" t="inlineStr">
        <is>
          <t>Sara Moss</t>
        </is>
      </c>
      <c r="C30" t="n">
        <v>18</v>
      </c>
      <c r="D30" t="inlineStr">
        <is>
          <t>A1340</t>
        </is>
      </c>
      <c r="E30" t="inlineStr">
        <is>
          <t>Build package 34</t>
        </is>
      </c>
      <c r="F30" t="inlineStr">
        <is>
          <t>Construction</t>
        </is>
      </c>
      <c r="G30" t="inlineStr">
        <is>
          <t>In Progress</t>
        </is>
      </c>
      <c r="H30" s="110" t="n">
        <v>45451</v>
      </c>
      <c r="I30" s="110" t="n">
        <v>45455</v>
      </c>
      <c r="J30" t="n">
        <v>40</v>
      </c>
      <c r="K30" s="110">
        <f>IF('Sara Moss'!G18="","",'Sara Moss'!G18)</f>
        <v>45451</v>
      </c>
      <c r="L30" s="110" t="str">
        <f>IF('Sara Moss'!H18="","",'Sara Moss'!H18)</f>
        <v/>
      </c>
      <c r="M30" t="str">
        <f>IF('Sara Moss'!I18="","",'Sara Moss'!I18)</f>
        <v/>
      </c>
      <c r="N30" s="110" t="str">
        <f>IF('Sara Moss'!J18="","",'Sara Moss'!J18)</f>
        <v/>
      </c>
      <c r="O30">
        <f>IF('Sara Moss'!N18="","",'Sara Moss'!N18)</f>
        <v>0</v>
      </c>
      <c r="P30" t="str">
        <f>'Sara Moss'!O18</f>
        <v>Finish date needed</v>
      </c>
      <c r="Q30" t="str">
        <f>IF('Sara Moss'!L18="","",'Sara Moss'!L18)</f>
        <v/>
      </c>
      <c r="R30">
        <f>'Sara Moss'!X18</f>
        <v>0</v>
      </c>
      <c r="S30" t="inlineStr">
        <is>
          <t>Yes</t>
        </is>
      </c>
      <c r="T30">
        <f>IF(OR(Overview!$C$5="Everyone",A30=Overview!$C$5),1,0)</f>
        <v>1</v>
      </c>
      <c r="U30">
        <f>IF(AND(T30=1,CHOOSE(IFERROR(MATCH(Overview!$E$5,ShowList,0),1),TRUE,OR(P30="Reason needed",P30="Start date needed",P30="Finish date needed",P30="Date in the future"),R30=0,R30=1,AND(O30&lt;&gt;"",N(O30)&gt;0,L30=""),AND(S30="Yes",L30=""),K30="",AND(K30&lt;&gt;"",L30=""),L30&lt;&gt;""),OR(Overview!$G$5="",ISNUMBER(SEARCH(Overview!$G$5,D30&amp;" "&amp;E30&amp;" "&amp;F30)))),1,0)</f>
        <v>1</v>
      </c>
      <c r="V30">
        <f>V29+U30</f>
        <v>29</v>
      </c>
      <c r="W30" t="str">
        <f>IF('Sara Moss'!K18="","",'Sara Moss'!K18)</f>
        <v/>
      </c>
    </row>
    <row r="31">
      <c r="A31" t="inlineStr">
        <is>
          <t>Sara Moss - Site Manager</t>
        </is>
      </c>
      <c r="B31" t="inlineStr">
        <is>
          <t>Sara Moss</t>
        </is>
      </c>
      <c r="C31" t="n">
        <v>19</v>
      </c>
      <c r="D31" t="inlineStr">
        <is>
          <t>A1360</t>
        </is>
      </c>
      <c r="E31" t="inlineStr">
        <is>
          <t>Build package 36</t>
        </is>
      </c>
      <c r="F31" t="inlineStr">
        <is>
          <t>Construction</t>
        </is>
      </c>
      <c r="G31" t="inlineStr">
        <is>
          <t>In Progress</t>
        </is>
      </c>
      <c r="H31" s="110" t="n">
        <v>45458</v>
      </c>
      <c r="I31" s="110" t="n">
        <v>45479</v>
      </c>
      <c r="J31" t="n">
        <v>10</v>
      </c>
      <c r="K31" s="110">
        <f>IF('Sara Moss'!G19="","",'Sara Moss'!G19)</f>
        <v>45458</v>
      </c>
      <c r="L31" s="110" t="str">
        <f>IF('Sara Moss'!H19="","",'Sara Moss'!H19)</f>
        <v/>
      </c>
      <c r="M31" t="str">
        <f>IF('Sara Moss'!I19="","",'Sara Moss'!I19)</f>
        <v/>
      </c>
      <c r="N31" s="110" t="str">
        <f>IF('Sara Moss'!J19="","",'Sara Moss'!J19)</f>
        <v/>
      </c>
      <c r="O31">
        <f>IF('Sara Moss'!N19="","",'Sara Moss'!N19)</f>
        <v>0</v>
      </c>
      <c r="P31" t="str">
        <f>'Sara Moss'!O19</f>
        <v>Not changed yet</v>
      </c>
      <c r="Q31" t="str">
        <f>IF('Sara Moss'!L19="","",'Sara Moss'!L19)</f>
        <v/>
      </c>
      <c r="R31">
        <f>'Sara Moss'!X19</f>
        <v>0</v>
      </c>
      <c r="S31" t="str">
        <f>""</f>
        <v/>
      </c>
      <c r="T31">
        <f>IF(OR(Overview!$C$5="Everyone",A31=Overview!$C$5),1,0)</f>
        <v>1</v>
      </c>
      <c r="U31">
        <f>IF(AND(T31=1,CHOOSE(IFERROR(MATCH(Overview!$E$5,ShowList,0),1),TRUE,OR(P31="Reason needed",P31="Start date needed",P31="Finish date needed",P31="Date in the future"),R31=0,R31=1,AND(O31&lt;&gt;"",N(O31)&gt;0,L31=""),AND(S31="Yes",L31=""),K31="",AND(K31&lt;&gt;"",L31=""),L31&lt;&gt;""),OR(Overview!$G$5="",ISNUMBER(SEARCH(Overview!$G$5,D31&amp;" "&amp;E31&amp;" "&amp;F31)))),1,0)</f>
        <v>1</v>
      </c>
      <c r="V31">
        <f>V30+U31</f>
        <v>30</v>
      </c>
      <c r="W31" t="str">
        <f>IF('Sara Moss'!K19="","",'Sara Moss'!K19)</f>
        <v/>
      </c>
    </row>
    <row r="32">
      <c r="A32" t="inlineStr">
        <is>
          <t>Sara Moss - Site Manager</t>
        </is>
      </c>
      <c r="B32" t="inlineStr">
        <is>
          <t>Sara Moss</t>
        </is>
      </c>
      <c r="C32" t="n">
        <v>20</v>
      </c>
      <c r="D32" t="inlineStr">
        <is>
          <t>A1380</t>
        </is>
      </c>
      <c r="E32" t="inlineStr">
        <is>
          <t>Build package 38</t>
        </is>
      </c>
      <c r="F32" t="inlineStr">
        <is>
          <t>Construction</t>
        </is>
      </c>
      <c r="G32" t="inlineStr">
        <is>
          <t>In Progress</t>
        </is>
      </c>
      <c r="H32" s="110" t="n">
        <v>45471</v>
      </c>
      <c r="I32" s="110" t="n">
        <v>45485</v>
      </c>
      <c r="J32" t="n">
        <v>60</v>
      </c>
      <c r="K32" s="110">
        <f>IF('Sara Moss'!G20="","",'Sara Moss'!G20)</f>
        <v>45471</v>
      </c>
      <c r="L32" s="110" t="str">
        <f>IF('Sara Moss'!H20="","",'Sara Moss'!H20)</f>
        <v/>
      </c>
      <c r="M32" t="str">
        <f>IF('Sara Moss'!I20="","",'Sara Moss'!I20)</f>
        <v/>
      </c>
      <c r="N32" s="110" t="str">
        <f>IF('Sara Moss'!J20="","",'Sara Moss'!J20)</f>
        <v/>
      </c>
      <c r="O32">
        <f>IF('Sara Moss'!N20="","",'Sara Moss'!N20)</f>
        <v>0</v>
      </c>
      <c r="P32" t="str">
        <f>'Sara Moss'!O20</f>
        <v>Not changed yet</v>
      </c>
      <c r="Q32" t="str">
        <f>IF('Sara Moss'!L20="","",'Sara Moss'!L20)</f>
        <v/>
      </c>
      <c r="R32">
        <f>'Sara Moss'!X20</f>
        <v>0</v>
      </c>
      <c r="S32" t="inlineStr">
        <is>
          <t>Yes</t>
        </is>
      </c>
      <c r="T32">
        <f>IF(OR(Overview!$C$5="Everyone",A32=Overview!$C$5),1,0)</f>
        <v>1</v>
      </c>
      <c r="U32">
        <f>IF(AND(T32=1,CHOOSE(IFERROR(MATCH(Overview!$E$5,ShowList,0),1),TRUE,OR(P32="Reason needed",P32="Start date needed",P32="Finish date needed",P32="Date in the future"),R32=0,R32=1,AND(O32&lt;&gt;"",N(O32)&gt;0,L32=""),AND(S32="Yes",L32=""),K32="",AND(K32&lt;&gt;"",L32=""),L32&lt;&gt;""),OR(Overview!$G$5="",ISNUMBER(SEARCH(Overview!$G$5,D32&amp;" "&amp;E32&amp;" "&amp;F32)))),1,0)</f>
        <v>1</v>
      </c>
      <c r="V32">
        <f>V31+U32</f>
        <v>31</v>
      </c>
      <c r="W32" t="str">
        <f>IF('Sara Moss'!K20="","",'Sara Moss'!K20)</f>
        <v/>
      </c>
    </row>
    <row r="33">
      <c r="A33" t="inlineStr">
        <is>
          <t>Sara Moss - Site Manager</t>
        </is>
      </c>
      <c r="B33" t="inlineStr">
        <is>
          <t>Sara Moss</t>
        </is>
      </c>
      <c r="C33" t="n">
        <v>21</v>
      </c>
      <c r="D33" t="inlineStr">
        <is>
          <t>A1400</t>
        </is>
      </c>
      <c r="E33" t="inlineStr">
        <is>
          <t>Build package 40</t>
        </is>
      </c>
      <c r="F33" t="inlineStr">
        <is>
          <t>Construction</t>
        </is>
      </c>
      <c r="G33" t="inlineStr">
        <is>
          <t>Not Started</t>
        </is>
      </c>
      <c r="H33" s="110" t="n">
        <v>45513</v>
      </c>
      <c r="I33" s="110" t="n">
        <v>45520</v>
      </c>
      <c r="J33" t="n">
        <v>0</v>
      </c>
      <c r="K33" s="110" t="str">
        <f>IF('Sara Moss'!G21="","",'Sara Moss'!G21)</f>
        <v/>
      </c>
      <c r="L33" s="110" t="str">
        <f>IF('Sara Moss'!H21="","",'Sara Moss'!H21)</f>
        <v/>
      </c>
      <c r="M33" t="str">
        <f>IF('Sara Moss'!I21="","",'Sara Moss'!I21)</f>
        <v/>
      </c>
      <c r="N33" s="110" t="str">
        <f>IF('Sara Moss'!J21="","",'Sara Moss'!J21)</f>
        <v/>
      </c>
      <c r="O33">
        <f>IF('Sara Moss'!N21="","",'Sara Moss'!N21)</f>
        <v>0</v>
      </c>
      <c r="P33" t="str">
        <f>'Sara Moss'!O21</f>
        <v>Not changed yet</v>
      </c>
      <c r="Q33" t="str">
        <f>IF('Sara Moss'!L21="","",'Sara Moss'!L21)</f>
        <v/>
      </c>
      <c r="R33">
        <f>'Sara Moss'!X21</f>
        <v>0</v>
      </c>
      <c r="S33" t="inlineStr">
        <is>
          <t>Yes</t>
        </is>
      </c>
      <c r="T33">
        <f>IF(OR(Overview!$C$5="Everyone",A33=Overview!$C$5),1,0)</f>
        <v>1</v>
      </c>
      <c r="U33">
        <f>IF(AND(T33=1,CHOOSE(IFERROR(MATCH(Overview!$E$5,ShowList,0),1),TRUE,OR(P33="Reason needed",P33="Start date needed",P33="Finish date needed",P33="Date in the future"),R33=0,R33=1,AND(O33&lt;&gt;"",N(O33)&gt;0,L33=""),AND(S33="Yes",L33=""),K33="",AND(K33&lt;&gt;"",L33=""),L33&lt;&gt;""),OR(Overview!$G$5="",ISNUMBER(SEARCH(Overview!$G$5,D33&amp;" "&amp;E33&amp;" "&amp;F33)))),1,0)</f>
        <v>1</v>
      </c>
      <c r="V33">
        <f>V32+U33</f>
        <v>32</v>
      </c>
      <c r="W33" t="str">
        <f>IF('Sara Moss'!K21="","",'Sara Moss'!K21)</f>
        <v/>
      </c>
    </row>
    <row r="34">
      <c r="A34" t="inlineStr">
        <is>
          <t>Sara Moss - Site Manager</t>
        </is>
      </c>
      <c r="B34" t="inlineStr">
        <is>
          <t>Sara Moss</t>
        </is>
      </c>
      <c r="C34" t="n">
        <v>22</v>
      </c>
      <c r="D34" t="inlineStr">
        <is>
          <t>A1420</t>
        </is>
      </c>
      <c r="E34" t="inlineStr">
        <is>
          <t>Build package 42</t>
        </is>
      </c>
      <c r="F34" t="inlineStr">
        <is>
          <t>Construction</t>
        </is>
      </c>
      <c r="G34" t="inlineStr">
        <is>
          <t>Not Started</t>
        </is>
      </c>
      <c r="H34" s="110" t="n">
        <v>45526</v>
      </c>
      <c r="I34" s="110" t="n">
        <v>45529</v>
      </c>
      <c r="J34" t="n">
        <v>0</v>
      </c>
      <c r="K34" s="110" t="str">
        <f>IF('Sara Moss'!G22="","",'Sara Moss'!G22)</f>
        <v/>
      </c>
      <c r="L34" s="110" t="str">
        <f>IF('Sara Moss'!H22="","",'Sara Moss'!H22)</f>
        <v/>
      </c>
      <c r="M34" t="str">
        <f>IF('Sara Moss'!I22="","",'Sara Moss'!I22)</f>
        <v/>
      </c>
      <c r="N34" s="110" t="str">
        <f>IF('Sara Moss'!J22="","",'Sara Moss'!J22)</f>
        <v/>
      </c>
      <c r="O34">
        <f>IF('Sara Moss'!N22="","",'Sara Moss'!N22)</f>
        <v>0</v>
      </c>
      <c r="P34" t="str">
        <f>'Sara Moss'!O22</f>
        <v>Not changed yet</v>
      </c>
      <c r="Q34" t="str">
        <f>IF('Sara Moss'!L22="","",'Sara Moss'!L22)</f>
        <v/>
      </c>
      <c r="R34">
        <f>'Sara Moss'!X22</f>
        <v>0</v>
      </c>
      <c r="S34" t="str">
        <f>""</f>
        <v/>
      </c>
      <c r="T34">
        <f>IF(OR(Overview!$C$5="Everyone",A34=Overview!$C$5),1,0)</f>
        <v>1</v>
      </c>
      <c r="U34">
        <f>IF(AND(T34=1,CHOOSE(IFERROR(MATCH(Overview!$E$5,ShowList,0),1),TRUE,OR(P34="Reason needed",P34="Start date needed",P34="Finish date needed",P34="Date in the future"),R34=0,R34=1,AND(O34&lt;&gt;"",N(O34)&gt;0,L34=""),AND(S34="Yes",L34=""),K34="",AND(K34&lt;&gt;"",L34=""),L34&lt;&gt;""),OR(Overview!$G$5="",ISNUMBER(SEARCH(Overview!$G$5,D34&amp;" "&amp;E34&amp;" "&amp;F34)))),1,0)</f>
        <v>1</v>
      </c>
      <c r="V34">
        <f>V33+U34</f>
        <v>33</v>
      </c>
      <c r="W34" t="str">
        <f>IF('Sara Moss'!K22="","",'Sara Moss'!K22)</f>
        <v/>
      </c>
    </row>
    <row r="35">
      <c r="A35" t="inlineStr">
        <is>
          <t>Sara Moss - Site Manager</t>
        </is>
      </c>
      <c r="B35" t="inlineStr">
        <is>
          <t>Sara Moss</t>
        </is>
      </c>
      <c r="C35" t="n">
        <v>23</v>
      </c>
      <c r="D35" t="inlineStr">
        <is>
          <t>A1440</t>
        </is>
      </c>
      <c r="E35" t="inlineStr">
        <is>
          <t>Build package 44</t>
        </is>
      </c>
      <c r="F35" t="inlineStr">
        <is>
          <t>Construction</t>
        </is>
      </c>
      <c r="G35" t="inlineStr">
        <is>
          <t>Not Started</t>
        </is>
      </c>
      <c r="H35" s="110" t="n">
        <v>45537</v>
      </c>
      <c r="I35" s="110" t="n">
        <v>45544</v>
      </c>
      <c r="J35" t="n">
        <v>0</v>
      </c>
      <c r="K35" s="110" t="str">
        <f>IF('Sara Moss'!G23="","",'Sara Moss'!G23)</f>
        <v/>
      </c>
      <c r="L35" s="110" t="str">
        <f>IF('Sara Moss'!H23="","",'Sara Moss'!H23)</f>
        <v/>
      </c>
      <c r="M35" t="str">
        <f>IF('Sara Moss'!I23="","",'Sara Moss'!I23)</f>
        <v/>
      </c>
      <c r="N35" s="110" t="str">
        <f>IF('Sara Moss'!J23="","",'Sara Moss'!J23)</f>
        <v/>
      </c>
      <c r="O35">
        <f>IF('Sara Moss'!N23="","",'Sara Moss'!N23)</f>
        <v>0</v>
      </c>
      <c r="P35" t="str">
        <f>'Sara Moss'!O23</f>
        <v>Not changed yet</v>
      </c>
      <c r="Q35" t="str">
        <f>IF('Sara Moss'!L23="","",'Sara Moss'!L23)</f>
        <v/>
      </c>
      <c r="R35">
        <f>'Sara Moss'!X23</f>
        <v>0</v>
      </c>
      <c r="S35" t="str">
        <f>""</f>
        <v/>
      </c>
      <c r="T35">
        <f>IF(OR(Overview!$C$5="Everyone",A35=Overview!$C$5),1,0)</f>
        <v>1</v>
      </c>
      <c r="U35">
        <f>IF(AND(T35=1,CHOOSE(IFERROR(MATCH(Overview!$E$5,ShowList,0),1),TRUE,OR(P35="Reason needed",P35="Start date needed",P35="Finish date needed",P35="Date in the future"),R35=0,R35=1,AND(O35&lt;&gt;"",N(O35)&gt;0,L35=""),AND(S35="Yes",L35=""),K35="",AND(K35&lt;&gt;"",L35=""),L35&lt;&gt;""),OR(Overview!$G$5="",ISNUMBER(SEARCH(Overview!$G$5,D35&amp;" "&amp;E35&amp;" "&amp;F35)))),1,0)</f>
        <v>1</v>
      </c>
      <c r="V35">
        <f>V34+U35</f>
        <v>34</v>
      </c>
      <c r="W35" t="str">
        <f>IF('Sara Moss'!K23="","",'Sara Moss'!K23)</f>
        <v/>
      </c>
    </row>
    <row r="36">
      <c r="A36" t="inlineStr">
        <is>
          <t>Sara Moss - Site Manager</t>
        </is>
      </c>
      <c r="B36" t="inlineStr">
        <is>
          <t>Sara Moss</t>
        </is>
      </c>
      <c r="C36" t="n">
        <v>24</v>
      </c>
      <c r="D36" t="inlineStr">
        <is>
          <t>A1460</t>
        </is>
      </c>
      <c r="E36" t="inlineStr">
        <is>
          <t>Build package 46</t>
        </is>
      </c>
      <c r="F36" t="inlineStr">
        <is>
          <t>Construction</t>
        </is>
      </c>
      <c r="G36" t="inlineStr">
        <is>
          <t>Not Started</t>
        </is>
      </c>
      <c r="H36" s="110" t="n">
        <v>45550</v>
      </c>
      <c r="I36" s="110" t="n">
        <v>45553</v>
      </c>
      <c r="J36" t="n">
        <v>0</v>
      </c>
      <c r="K36" s="110" t="str">
        <f>IF('Sara Moss'!G24="","",'Sara Moss'!G24)</f>
        <v/>
      </c>
      <c r="L36" s="110" t="str">
        <f>IF('Sara Moss'!H24="","",'Sara Moss'!H24)</f>
        <v/>
      </c>
      <c r="M36" t="str">
        <f>IF('Sara Moss'!I24="","",'Sara Moss'!I24)</f>
        <v/>
      </c>
      <c r="N36" s="110" t="str">
        <f>IF('Sara Moss'!J24="","",'Sara Moss'!J24)</f>
        <v/>
      </c>
      <c r="O36">
        <f>IF('Sara Moss'!N24="","",'Sara Moss'!N24)</f>
        <v>0</v>
      </c>
      <c r="P36" t="str">
        <f>'Sara Moss'!O24</f>
        <v>Not changed yet</v>
      </c>
      <c r="Q36" t="str">
        <f>IF('Sara Moss'!L24="","",'Sara Moss'!L24)</f>
        <v/>
      </c>
      <c r="R36">
        <f>'Sara Moss'!X24</f>
        <v>0</v>
      </c>
      <c r="S36" t="inlineStr">
        <is>
          <t>Yes</t>
        </is>
      </c>
      <c r="T36">
        <f>IF(OR(Overview!$C$5="Everyone",A36=Overview!$C$5),1,0)</f>
        <v>1</v>
      </c>
      <c r="U36">
        <f>IF(AND(T36=1,CHOOSE(IFERROR(MATCH(Overview!$E$5,ShowList,0),1),TRUE,OR(P36="Reason needed",P36="Start date needed",P36="Finish date needed",P36="Date in the future"),R36=0,R36=1,AND(O36&lt;&gt;"",N(O36)&gt;0,L36=""),AND(S36="Yes",L36=""),K36="",AND(K36&lt;&gt;"",L36=""),L36&lt;&gt;""),OR(Overview!$G$5="",ISNUMBER(SEARCH(Overview!$G$5,D36&amp;" "&amp;E36&amp;" "&amp;F36)))),1,0)</f>
        <v>1</v>
      </c>
      <c r="V36">
        <f>V35+U36</f>
        <v>35</v>
      </c>
      <c r="W36" t="str">
        <f>IF('Sara Moss'!K24="","",'Sara Moss'!K24)</f>
        <v/>
      </c>
    </row>
    <row r="37">
      <c r="A37" t="inlineStr">
        <is>
          <t>Sara Moss - Site Manager</t>
        </is>
      </c>
      <c r="B37" t="inlineStr">
        <is>
          <t>Sara Moss</t>
        </is>
      </c>
      <c r="C37" t="n">
        <v>25</v>
      </c>
      <c r="D37" t="inlineStr">
        <is>
          <t>A1480</t>
        </is>
      </c>
      <c r="E37" t="inlineStr">
        <is>
          <t>Build package 48</t>
        </is>
      </c>
      <c r="F37" t="inlineStr">
        <is>
          <t>Construction</t>
        </is>
      </c>
      <c r="G37" t="inlineStr">
        <is>
          <t>Not Started</t>
        </is>
      </c>
      <c r="H37" s="110" t="n">
        <v>45554</v>
      </c>
      <c r="I37" s="110" t="n">
        <v>45568</v>
      </c>
      <c r="J37" t="n">
        <v>0</v>
      </c>
      <c r="K37" s="110" t="str">
        <f>IF('Sara Moss'!G25="","",'Sara Moss'!G25)</f>
        <v/>
      </c>
      <c r="L37" s="110" t="str">
        <f>IF('Sara Moss'!H25="","",'Sara Moss'!H25)</f>
        <v/>
      </c>
      <c r="M37" t="str">
        <f>IF('Sara Moss'!I25="","",'Sara Moss'!I25)</f>
        <v/>
      </c>
      <c r="N37" s="110" t="str">
        <f>IF('Sara Moss'!J25="","",'Sara Moss'!J25)</f>
        <v/>
      </c>
      <c r="O37">
        <f>IF('Sara Moss'!N25="","",'Sara Moss'!N25)</f>
        <v>0</v>
      </c>
      <c r="P37" t="str">
        <f>'Sara Moss'!O25</f>
        <v>Not changed yet</v>
      </c>
      <c r="Q37" t="str">
        <f>IF('Sara Moss'!L25="","",'Sara Moss'!L25)</f>
        <v/>
      </c>
      <c r="R37">
        <f>'Sara Moss'!X25</f>
        <v>0</v>
      </c>
      <c r="S37" t="inlineStr">
        <is>
          <t>Yes</t>
        </is>
      </c>
      <c r="T37">
        <f>IF(OR(Overview!$C$5="Everyone",A37=Overview!$C$5),1,0)</f>
        <v>1</v>
      </c>
      <c r="U37">
        <f>IF(AND(T37=1,CHOOSE(IFERROR(MATCH(Overview!$E$5,ShowList,0),1),TRUE,OR(P37="Reason needed",P37="Start date needed",P37="Finish date needed",P37="Date in the future"),R37=0,R37=1,AND(O37&lt;&gt;"",N(O37)&gt;0,L37=""),AND(S37="Yes",L37=""),K37="",AND(K37&lt;&gt;"",L37=""),L37&lt;&gt;""),OR(Overview!$G$5="",ISNUMBER(SEARCH(Overview!$G$5,D37&amp;" "&amp;E37&amp;" "&amp;F37)))),1,0)</f>
        <v>1</v>
      </c>
      <c r="V37">
        <f>V36+U37</f>
        <v>36</v>
      </c>
      <c r="W37" t="str">
        <f>IF('Sara Moss'!K25="","",'Sara Moss'!K25)</f>
        <v/>
      </c>
    </row>
    <row r="38">
      <c r="A38" t="inlineStr">
        <is>
          <t>Sara Moss - Site Manager</t>
        </is>
      </c>
      <c r="B38" t="inlineStr">
        <is>
          <t>Sara Moss</t>
        </is>
      </c>
      <c r="C38" t="n">
        <v>26</v>
      </c>
      <c r="D38" t="inlineStr">
        <is>
          <t>A1500</t>
        </is>
      </c>
      <c r="E38" t="inlineStr">
        <is>
          <t>Build package 50</t>
        </is>
      </c>
      <c r="F38" t="inlineStr">
        <is>
          <t>Construction</t>
        </is>
      </c>
      <c r="G38" t="inlineStr">
        <is>
          <t>Not Started</t>
        </is>
      </c>
      <c r="H38" s="110" t="n">
        <v>45566</v>
      </c>
      <c r="I38" s="110" t="n">
        <v>45570</v>
      </c>
      <c r="J38" t="n">
        <v>0</v>
      </c>
      <c r="K38" s="110" t="str">
        <f>IF('Sara Moss'!G26="","",'Sara Moss'!G26)</f>
        <v/>
      </c>
      <c r="L38" s="110" t="str">
        <f>IF('Sara Moss'!H26="","",'Sara Moss'!H26)</f>
        <v/>
      </c>
      <c r="M38" t="str">
        <f>IF('Sara Moss'!I26="","",'Sara Moss'!I26)</f>
        <v/>
      </c>
      <c r="N38" s="110" t="str">
        <f>IF('Sara Moss'!J26="","",'Sara Moss'!J26)</f>
        <v/>
      </c>
      <c r="O38">
        <f>IF('Sara Moss'!N26="","",'Sara Moss'!N26)</f>
        <v>0</v>
      </c>
      <c r="P38" t="str">
        <f>'Sara Moss'!O26</f>
        <v>Not changed yet</v>
      </c>
      <c r="Q38" t="str">
        <f>IF('Sara Moss'!L26="","",'Sara Moss'!L26)</f>
        <v/>
      </c>
      <c r="R38">
        <f>'Sara Moss'!X26</f>
        <v>0</v>
      </c>
      <c r="S38" t="str">
        <f>""</f>
        <v/>
      </c>
      <c r="T38">
        <f>IF(OR(Overview!$C$5="Everyone",A38=Overview!$C$5),1,0)</f>
        <v>1</v>
      </c>
      <c r="U38">
        <f>IF(AND(T38=1,CHOOSE(IFERROR(MATCH(Overview!$E$5,ShowList,0),1),TRUE,OR(P38="Reason needed",P38="Start date needed",P38="Finish date needed",P38="Date in the future"),R38=0,R38=1,AND(O38&lt;&gt;"",N(O38)&gt;0,L38=""),AND(S38="Yes",L38=""),K38="",AND(K38&lt;&gt;"",L38=""),L38&lt;&gt;""),OR(Overview!$G$5="",ISNUMBER(SEARCH(Overview!$G$5,D38&amp;" "&amp;E38&amp;" "&amp;F38)))),1,0)</f>
        <v>1</v>
      </c>
      <c r="V38">
        <f>V37+U38</f>
        <v>37</v>
      </c>
      <c r="W38" t="str">
        <f>IF('Sara Moss'!K26="","",'Sara Moss'!K26)</f>
        <v/>
      </c>
    </row>
    <row r="39">
      <c r="A39" t="inlineStr">
        <is>
          <t>Sara Moss - Site Manager</t>
        </is>
      </c>
      <c r="B39" t="inlineStr">
        <is>
          <t>Sara Moss</t>
        </is>
      </c>
      <c r="C39" t="n">
        <v>27</v>
      </c>
      <c r="D39" t="inlineStr">
        <is>
          <t>A1520</t>
        </is>
      </c>
      <c r="E39" t="inlineStr">
        <is>
          <t>Build package 52</t>
        </is>
      </c>
      <c r="F39" t="inlineStr">
        <is>
          <t>Construction</t>
        </is>
      </c>
      <c r="G39" t="inlineStr">
        <is>
          <t>Not Started</t>
        </is>
      </c>
      <c r="H39" s="110" t="n">
        <v>45570</v>
      </c>
      <c r="I39" s="110" t="n">
        <v>45581</v>
      </c>
      <c r="J39" t="n">
        <v>0</v>
      </c>
      <c r="K39" s="110" t="str">
        <f>IF('Sara Moss'!G27="","",'Sara Moss'!G27)</f>
        <v/>
      </c>
      <c r="L39" s="110" t="str">
        <f>IF('Sara Moss'!H27="","",'Sara Moss'!H27)</f>
        <v/>
      </c>
      <c r="M39" t="str">
        <f>IF('Sara Moss'!I27="","",'Sara Moss'!I27)</f>
        <v/>
      </c>
      <c r="N39" s="110" t="str">
        <f>IF('Sara Moss'!J27="","",'Sara Moss'!J27)</f>
        <v/>
      </c>
      <c r="O39">
        <f>IF('Sara Moss'!N27="","",'Sara Moss'!N27)</f>
        <v>0</v>
      </c>
      <c r="P39" t="str">
        <f>'Sara Moss'!O27</f>
        <v>Not changed yet</v>
      </c>
      <c r="Q39" t="str">
        <f>IF('Sara Moss'!L27="","",'Sara Moss'!L27)</f>
        <v/>
      </c>
      <c r="R39">
        <f>'Sara Moss'!X27</f>
        <v>0</v>
      </c>
      <c r="S39" t="str">
        <f>""</f>
        <v/>
      </c>
      <c r="T39">
        <f>IF(OR(Overview!$C$5="Everyone",A39=Overview!$C$5),1,0)</f>
        <v>1</v>
      </c>
      <c r="U39">
        <f>IF(AND(T39=1,CHOOSE(IFERROR(MATCH(Overview!$E$5,ShowList,0),1),TRUE,OR(P39="Reason needed",P39="Start date needed",P39="Finish date needed",P39="Date in the future"),R39=0,R39=1,AND(O39&lt;&gt;"",N(O39)&gt;0,L39=""),AND(S39="Yes",L39=""),K39="",AND(K39&lt;&gt;"",L39=""),L39&lt;&gt;""),OR(Overview!$G$5="",ISNUMBER(SEARCH(Overview!$G$5,D39&amp;" "&amp;E39&amp;" "&amp;F39)))),1,0)</f>
        <v>1</v>
      </c>
      <c r="V39">
        <f>V38+U39</f>
        <v>38</v>
      </c>
      <c r="W39" t="str">
        <f>IF('Sara Moss'!K27="","",'Sara Moss'!K27)</f>
        <v/>
      </c>
    </row>
    <row r="40">
      <c r="A40" t="inlineStr">
        <is>
          <t>Sara Moss - Site Manager</t>
        </is>
      </c>
      <c r="B40" t="inlineStr">
        <is>
          <t>Sara Moss</t>
        </is>
      </c>
      <c r="C40" t="n">
        <v>28</v>
      </c>
      <c r="D40" t="inlineStr">
        <is>
          <t>A1540</t>
        </is>
      </c>
      <c r="E40" t="inlineStr">
        <is>
          <t>Build package 54</t>
        </is>
      </c>
      <c r="F40" t="inlineStr">
        <is>
          <t>Construction</t>
        </is>
      </c>
      <c r="G40" t="inlineStr">
        <is>
          <t>Not Started</t>
        </is>
      </c>
      <c r="H40" s="110" t="n">
        <v>45610</v>
      </c>
      <c r="I40" s="110" t="n">
        <v>45613</v>
      </c>
      <c r="J40" t="n">
        <v>0</v>
      </c>
      <c r="K40" s="110" t="str">
        <f>IF('Sara Moss'!G28="","",'Sara Moss'!G28)</f>
        <v/>
      </c>
      <c r="L40" s="110" t="str">
        <f>IF('Sara Moss'!H28="","",'Sara Moss'!H28)</f>
        <v/>
      </c>
      <c r="M40" t="str">
        <f>IF('Sara Moss'!I28="","",'Sara Moss'!I28)</f>
        <v/>
      </c>
      <c r="N40" s="110" t="str">
        <f>IF('Sara Moss'!J28="","",'Sara Moss'!J28)</f>
        <v/>
      </c>
      <c r="O40">
        <f>IF('Sara Moss'!N28="","",'Sara Moss'!N28)</f>
        <v>0</v>
      </c>
      <c r="P40" t="str">
        <f>'Sara Moss'!O28</f>
        <v>Not changed yet</v>
      </c>
      <c r="Q40" t="str">
        <f>IF('Sara Moss'!L28="","",'Sara Moss'!L28)</f>
        <v/>
      </c>
      <c r="R40">
        <f>'Sara Moss'!X28</f>
        <v>0</v>
      </c>
      <c r="S40" t="inlineStr">
        <is>
          <t>Yes</t>
        </is>
      </c>
      <c r="T40">
        <f>IF(OR(Overview!$C$5="Everyone",A40=Overview!$C$5),1,0)</f>
        <v>1</v>
      </c>
      <c r="U40">
        <f>IF(AND(T40=1,CHOOSE(IFERROR(MATCH(Overview!$E$5,ShowList,0),1),TRUE,OR(P40="Reason needed",P40="Start date needed",P40="Finish date needed",P40="Date in the future"),R40=0,R40=1,AND(O40&lt;&gt;"",N(O40)&gt;0,L40=""),AND(S40="Yes",L40=""),K40="",AND(K40&lt;&gt;"",L40=""),L40&lt;&gt;""),OR(Overview!$G$5="",ISNUMBER(SEARCH(Overview!$G$5,D40&amp;" "&amp;E40&amp;" "&amp;F40)))),1,0)</f>
        <v>1</v>
      </c>
      <c r="V40">
        <f>V39+U40</f>
        <v>39</v>
      </c>
      <c r="W40" t="str">
        <f>IF('Sara Moss'!K28="","",'Sara Moss'!K28)</f>
        <v/>
      </c>
    </row>
    <row r="41">
      <c r="A41" t="inlineStr">
        <is>
          <t>Sara Moss - Site Manager</t>
        </is>
      </c>
      <c r="B41" t="inlineStr">
        <is>
          <t>Sara Moss</t>
        </is>
      </c>
      <c r="C41" t="n">
        <v>29</v>
      </c>
      <c r="D41" t="inlineStr">
        <is>
          <t>A1560</t>
        </is>
      </c>
      <c r="E41" t="inlineStr">
        <is>
          <t>Build package 56</t>
        </is>
      </c>
      <c r="F41" t="inlineStr">
        <is>
          <t>Construction</t>
        </is>
      </c>
      <c r="G41" t="inlineStr">
        <is>
          <t>Not Started</t>
        </is>
      </c>
      <c r="H41" s="110" t="n">
        <v>45616</v>
      </c>
      <c r="I41" s="110" t="n">
        <v>45630</v>
      </c>
      <c r="J41" t="n">
        <v>0</v>
      </c>
      <c r="K41" s="110" t="str">
        <f>IF('Sara Moss'!G29="","",'Sara Moss'!G29)</f>
        <v/>
      </c>
      <c r="L41" s="110" t="str">
        <f>IF('Sara Moss'!H29="","",'Sara Moss'!H29)</f>
        <v/>
      </c>
      <c r="M41" t="str">
        <f>IF('Sara Moss'!I29="","",'Sara Moss'!I29)</f>
        <v/>
      </c>
      <c r="N41" s="110" t="str">
        <f>IF('Sara Moss'!J29="","",'Sara Moss'!J29)</f>
        <v/>
      </c>
      <c r="O41">
        <f>IF('Sara Moss'!N29="","",'Sara Moss'!N29)</f>
        <v>0</v>
      </c>
      <c r="P41" t="str">
        <f>'Sara Moss'!O29</f>
        <v>Not changed yet</v>
      </c>
      <c r="Q41" t="str">
        <f>IF('Sara Moss'!L29="","",'Sara Moss'!L29)</f>
        <v/>
      </c>
      <c r="R41">
        <f>'Sara Moss'!X29</f>
        <v>0</v>
      </c>
      <c r="S41" t="str">
        <f>""</f>
        <v/>
      </c>
      <c r="T41">
        <f>IF(OR(Overview!$C$5="Everyone",A41=Overview!$C$5),1,0)</f>
        <v>1</v>
      </c>
      <c r="U41">
        <f>IF(AND(T41=1,CHOOSE(IFERROR(MATCH(Overview!$E$5,ShowList,0),1),TRUE,OR(P41="Reason needed",P41="Start date needed",P41="Finish date needed",P41="Date in the future"),R41=0,R41=1,AND(O41&lt;&gt;"",N(O41)&gt;0,L41=""),AND(S41="Yes",L41=""),K41="",AND(K41&lt;&gt;"",L41=""),L41&lt;&gt;""),OR(Overview!$G$5="",ISNUMBER(SEARCH(Overview!$G$5,D41&amp;" "&amp;E41&amp;" "&amp;F41)))),1,0)</f>
        <v>1</v>
      </c>
      <c r="V41">
        <f>V40+U41</f>
        <v>40</v>
      </c>
      <c r="W41" t="str">
        <f>IF('Sara Moss'!K29="","",'Sara Moss'!K29)</f>
        <v/>
      </c>
    </row>
    <row r="42">
      <c r="A42" t="inlineStr">
        <is>
          <t>Sara Moss - Site Manager</t>
        </is>
      </c>
      <c r="B42" t="inlineStr">
        <is>
          <t>Sara Moss</t>
        </is>
      </c>
      <c r="C42" t="n">
        <v>30</v>
      </c>
      <c r="D42" t="inlineStr">
        <is>
          <t>A1580</t>
        </is>
      </c>
      <c r="E42" t="inlineStr">
        <is>
          <t>Build package 58</t>
        </is>
      </c>
      <c r="F42" t="inlineStr">
        <is>
          <t>Construction</t>
        </is>
      </c>
      <c r="G42" t="inlineStr">
        <is>
          <t>Not Started</t>
        </is>
      </c>
      <c r="H42" s="110" t="n">
        <v>45625</v>
      </c>
      <c r="I42" s="110" t="n">
        <v>45695</v>
      </c>
      <c r="J42" t="n">
        <v>0</v>
      </c>
      <c r="K42" s="110" t="str">
        <f>IF('Sara Moss'!G30="","",'Sara Moss'!G30)</f>
        <v/>
      </c>
      <c r="L42" s="110" t="str">
        <f>IF('Sara Moss'!H30="","",'Sara Moss'!H30)</f>
        <v/>
      </c>
      <c r="M42" t="str">
        <f>IF('Sara Moss'!I30="","",'Sara Moss'!I30)</f>
        <v/>
      </c>
      <c r="N42" s="110" t="str">
        <f>IF('Sara Moss'!J30="","",'Sara Moss'!J30)</f>
        <v/>
      </c>
      <c r="O42">
        <f>IF('Sara Moss'!N30="","",'Sara Moss'!N30)</f>
        <v>0</v>
      </c>
      <c r="P42" t="str">
        <f>'Sara Moss'!O30</f>
        <v>Not changed yet</v>
      </c>
      <c r="Q42" t="str">
        <f>IF('Sara Moss'!L30="","",'Sara Moss'!L30)</f>
        <v/>
      </c>
      <c r="R42">
        <f>'Sara Moss'!X30</f>
        <v>0</v>
      </c>
      <c r="S42" t="str">
        <f>""</f>
        <v/>
      </c>
      <c r="T42">
        <f>IF(OR(Overview!$C$5="Everyone",A42=Overview!$C$5),1,0)</f>
        <v>1</v>
      </c>
      <c r="U42">
        <f>IF(AND(T42=1,CHOOSE(IFERROR(MATCH(Overview!$E$5,ShowList,0),1),TRUE,OR(P42="Reason needed",P42="Start date needed",P42="Finish date needed",P42="Date in the future"),R42=0,R42=1,AND(O42&lt;&gt;"",N(O42)&gt;0,L42=""),AND(S42="Yes",L42=""),K42="",AND(K42&lt;&gt;"",L42=""),L42&lt;&gt;""),OR(Overview!$G$5="",ISNUMBER(SEARCH(Overview!$G$5,D42&amp;" "&amp;E42&amp;" "&amp;F42)))),1,0)</f>
        <v>1</v>
      </c>
      <c r="V42">
        <f>V41+U42</f>
        <v>41</v>
      </c>
      <c r="W42" t="str">
        <f>IF('Sara Moss'!K30="","",'Sara Moss'!K30)</f>
        <v/>
      </c>
    </row>
    <row r="43">
      <c r="A43" t="inlineStr">
        <is>
          <t>Tom Reid - Package Manager</t>
        </is>
      </c>
      <c r="B43" t="inlineStr">
        <is>
          <t>Tom Reid</t>
        </is>
      </c>
      <c r="C43" t="n">
        <v>11</v>
      </c>
      <c r="D43" t="inlineStr">
        <is>
          <t>A1210</t>
        </is>
      </c>
      <c r="E43" t="inlineStr">
        <is>
          <t>Build package 21</t>
        </is>
      </c>
      <c r="F43" t="inlineStr">
        <is>
          <t>Construction</t>
        </is>
      </c>
      <c r="G43" t="inlineStr">
        <is>
          <t>Completed</t>
        </is>
      </c>
      <c r="H43" s="110" t="n">
        <v>45362</v>
      </c>
      <c r="I43" s="110" t="n">
        <v>45376</v>
      </c>
      <c r="J43" t="n">
        <v>100</v>
      </c>
      <c r="K43" s="110">
        <f>IF('Tom Reid'!G11="","",'Tom Reid'!G11)</f>
        <v>45362</v>
      </c>
      <c r="L43" s="110">
        <f>IF('Tom Reid'!H11="","",'Tom Reid'!H11)</f>
        <v>45376</v>
      </c>
      <c r="M43" t="str">
        <f>IF('Tom Reid'!I11="","",'Tom Reid'!I11)</f>
        <v/>
      </c>
      <c r="N43" s="110" t="str">
        <f>IF('Tom Reid'!J11="","",'Tom Reid'!J11)</f>
        <v/>
      </c>
      <c r="O43">
        <f>IF('Tom Reid'!N11="","",'Tom Reid'!N11)</f>
        <v>0</v>
      </c>
      <c r="P43" t="str">
        <f>'Tom Reid'!O11</f>
        <v>✓ Complete</v>
      </c>
      <c r="Q43" t="str">
        <f>IF('Tom Reid'!L11="","",'Tom Reid'!L11)</f>
        <v/>
      </c>
      <c r="R43">
        <f>'Tom Reid'!X11</f>
        <v>0</v>
      </c>
      <c r="S43" t="str">
        <f>""</f>
        <v/>
      </c>
      <c r="T43">
        <f>IF(OR(Overview!$C$5="Everyone",A43=Overview!$C$5),1,0)</f>
        <v>1</v>
      </c>
      <c r="U43">
        <f>IF(AND(T43=1,CHOOSE(IFERROR(MATCH(Overview!$E$5,ShowList,0),1),TRUE,OR(P43="Reason needed",P43="Start date needed",P43="Finish date needed",P43="Date in the future"),R43=0,R43=1,AND(O43&lt;&gt;"",N(O43)&gt;0,L43=""),AND(S43="Yes",L43=""),K43="",AND(K43&lt;&gt;"",L43=""),L43&lt;&gt;""),OR(Overview!$G$5="",ISNUMBER(SEARCH(Overview!$G$5,D43&amp;" "&amp;E43&amp;" "&amp;F43)))),1,0)</f>
        <v>1</v>
      </c>
      <c r="V43">
        <f>V42+U43</f>
        <v>42</v>
      </c>
      <c r="W43" t="str">
        <f>IF('Tom Reid'!K11="","",'Tom Reid'!K11)</f>
        <v/>
      </c>
    </row>
    <row r="44">
      <c r="A44" t="inlineStr">
        <is>
          <t>Tom Reid - Package Manager</t>
        </is>
      </c>
      <c r="B44" t="inlineStr">
        <is>
          <t>Tom Reid</t>
        </is>
      </c>
      <c r="C44" t="n">
        <v>12</v>
      </c>
      <c r="D44" t="inlineStr">
        <is>
          <t>A1230</t>
        </is>
      </c>
      <c r="E44" t="inlineStr">
        <is>
          <t>Build package 23</t>
        </is>
      </c>
      <c r="F44" t="inlineStr">
        <is>
          <t>Construction</t>
        </is>
      </c>
      <c r="G44" t="inlineStr">
        <is>
          <t>Completed</t>
        </is>
      </c>
      <c r="H44" s="110" t="n">
        <v>45376</v>
      </c>
      <c r="I44" s="110" t="n">
        <v>45387</v>
      </c>
      <c r="J44" t="n">
        <v>100</v>
      </c>
      <c r="K44" s="110">
        <f>IF('Tom Reid'!G12="","",'Tom Reid'!G12)</f>
        <v>45376</v>
      </c>
      <c r="L44" s="110">
        <f>IF('Tom Reid'!H12="","",'Tom Reid'!H12)</f>
        <v>45387</v>
      </c>
      <c r="M44" t="str">
        <f>IF('Tom Reid'!I12="","",'Tom Reid'!I12)</f>
        <v/>
      </c>
      <c r="N44" s="110" t="str">
        <f>IF('Tom Reid'!J12="","",'Tom Reid'!J12)</f>
        <v/>
      </c>
      <c r="O44">
        <f>IF('Tom Reid'!N12="","",'Tom Reid'!N12)</f>
        <v>0</v>
      </c>
      <c r="P44" t="str">
        <f>'Tom Reid'!O12</f>
        <v>✓ Complete</v>
      </c>
      <c r="Q44" t="str">
        <f>IF('Tom Reid'!L12="","",'Tom Reid'!L12)</f>
        <v/>
      </c>
      <c r="R44">
        <f>'Tom Reid'!X12</f>
        <v>0</v>
      </c>
      <c r="S44" t="str">
        <f>""</f>
        <v/>
      </c>
      <c r="T44">
        <f>IF(OR(Overview!$C$5="Everyone",A44=Overview!$C$5),1,0)</f>
        <v>1</v>
      </c>
      <c r="U44">
        <f>IF(AND(T44=1,CHOOSE(IFERROR(MATCH(Overview!$E$5,ShowList,0),1),TRUE,OR(P44="Reason needed",P44="Start date needed",P44="Finish date needed",P44="Date in the future"),R44=0,R44=1,AND(O44&lt;&gt;"",N(O44)&gt;0,L44=""),AND(S44="Yes",L44=""),K44="",AND(K44&lt;&gt;"",L44=""),L44&lt;&gt;""),OR(Overview!$G$5="",ISNUMBER(SEARCH(Overview!$G$5,D44&amp;" "&amp;E44&amp;" "&amp;F44)))),1,0)</f>
        <v>1</v>
      </c>
      <c r="V44">
        <f>V43+U44</f>
        <v>43</v>
      </c>
      <c r="W44" t="str">
        <f>IF('Tom Reid'!K12="","",'Tom Reid'!K12)</f>
        <v/>
      </c>
    </row>
    <row r="45">
      <c r="A45" t="inlineStr">
        <is>
          <t>Tom Reid - Package Manager</t>
        </is>
      </c>
      <c r="B45" t="inlineStr">
        <is>
          <t>Tom Reid</t>
        </is>
      </c>
      <c r="C45" t="n">
        <v>13</v>
      </c>
      <c r="D45" t="inlineStr">
        <is>
          <t>A1250</t>
        </is>
      </c>
      <c r="E45" t="inlineStr">
        <is>
          <t>Build package 25</t>
        </is>
      </c>
      <c r="F45" t="inlineStr">
        <is>
          <t>Construction</t>
        </is>
      </c>
      <c r="G45" t="inlineStr">
        <is>
          <t>Completed</t>
        </is>
      </c>
      <c r="H45" s="110" t="n">
        <v>45416</v>
      </c>
      <c r="I45" s="110" t="n">
        <v>45427</v>
      </c>
      <c r="J45" t="n">
        <v>100</v>
      </c>
      <c r="K45" s="110">
        <f>IF('Tom Reid'!G13="","",'Tom Reid'!G13)</f>
        <v>45416</v>
      </c>
      <c r="L45" s="110">
        <f>IF('Tom Reid'!H13="","",'Tom Reid'!H13)</f>
        <v>45427</v>
      </c>
      <c r="M45" t="str">
        <f>IF('Tom Reid'!I13="","",'Tom Reid'!I13)</f>
        <v/>
      </c>
      <c r="N45" s="110" t="str">
        <f>IF('Tom Reid'!J13="","",'Tom Reid'!J13)</f>
        <v/>
      </c>
      <c r="O45">
        <f>IF('Tom Reid'!N13="","",'Tom Reid'!N13)</f>
        <v>0</v>
      </c>
      <c r="P45" t="str">
        <f>'Tom Reid'!O13</f>
        <v>✓ Complete</v>
      </c>
      <c r="Q45" t="str">
        <f>IF('Tom Reid'!L13="","",'Tom Reid'!L13)</f>
        <v/>
      </c>
      <c r="R45">
        <f>'Tom Reid'!X13</f>
        <v>0</v>
      </c>
      <c r="S45" t="str">
        <f>""</f>
        <v/>
      </c>
      <c r="T45">
        <f>IF(OR(Overview!$C$5="Everyone",A45=Overview!$C$5),1,0)</f>
        <v>1</v>
      </c>
      <c r="U45">
        <f>IF(AND(T45=1,CHOOSE(IFERROR(MATCH(Overview!$E$5,ShowList,0),1),TRUE,OR(P45="Reason needed",P45="Start date needed",P45="Finish date needed",P45="Date in the future"),R45=0,R45=1,AND(O45&lt;&gt;"",N(O45)&gt;0,L45=""),AND(S45="Yes",L45=""),K45="",AND(K45&lt;&gt;"",L45=""),L45&lt;&gt;""),OR(Overview!$G$5="",ISNUMBER(SEARCH(Overview!$G$5,D45&amp;" "&amp;E45&amp;" "&amp;F45)))),1,0)</f>
        <v>1</v>
      </c>
      <c r="V45">
        <f>V44+U45</f>
        <v>44</v>
      </c>
      <c r="W45" t="str">
        <f>IF('Tom Reid'!K13="","",'Tom Reid'!K13)</f>
        <v/>
      </c>
    </row>
    <row r="46">
      <c r="A46" t="inlineStr">
        <is>
          <t>Tom Reid - Package Manager</t>
        </is>
      </c>
      <c r="B46" t="inlineStr">
        <is>
          <t>Tom Reid</t>
        </is>
      </c>
      <c r="C46" t="n">
        <v>14</v>
      </c>
      <c r="D46" t="inlineStr">
        <is>
          <t>A1270</t>
        </is>
      </c>
      <c r="E46" t="inlineStr">
        <is>
          <t>Build package 27</t>
        </is>
      </c>
      <c r="F46" t="inlineStr">
        <is>
          <t>Construction</t>
        </is>
      </c>
      <c r="G46" t="inlineStr">
        <is>
          <t>Completed</t>
        </is>
      </c>
      <c r="H46" s="110" t="n">
        <v>45424</v>
      </c>
      <c r="I46" s="110" t="n">
        <v>45428</v>
      </c>
      <c r="J46" t="n">
        <v>100</v>
      </c>
      <c r="K46" s="110">
        <f>IF('Tom Reid'!G14="","",'Tom Reid'!G14)</f>
        <v>45424</v>
      </c>
      <c r="L46" s="110">
        <f>IF('Tom Reid'!H14="","",'Tom Reid'!H14)</f>
        <v>45428</v>
      </c>
      <c r="M46" t="str">
        <f>IF('Tom Reid'!I14="","",'Tom Reid'!I14)</f>
        <v/>
      </c>
      <c r="N46" s="110" t="str">
        <f>IF('Tom Reid'!J14="","",'Tom Reid'!J14)</f>
        <v/>
      </c>
      <c r="O46">
        <f>IF('Tom Reid'!N14="","",'Tom Reid'!N14)</f>
        <v>0</v>
      </c>
      <c r="P46" t="str">
        <f>'Tom Reid'!O14</f>
        <v>✓ Complete</v>
      </c>
      <c r="Q46" t="str">
        <f>IF('Tom Reid'!L14="","",'Tom Reid'!L14)</f>
        <v/>
      </c>
      <c r="R46">
        <f>'Tom Reid'!X14</f>
        <v>0</v>
      </c>
      <c r="S46" t="str">
        <f>""</f>
        <v/>
      </c>
      <c r="T46">
        <f>IF(OR(Overview!$C$5="Everyone",A46=Overview!$C$5),1,0)</f>
        <v>1</v>
      </c>
      <c r="U46">
        <f>IF(AND(T46=1,CHOOSE(IFERROR(MATCH(Overview!$E$5,ShowList,0),1),TRUE,OR(P46="Reason needed",P46="Start date needed",P46="Finish date needed",P46="Date in the future"),R46=0,R46=1,AND(O46&lt;&gt;"",N(O46)&gt;0,L46=""),AND(S46="Yes",L46=""),K46="",AND(K46&lt;&gt;"",L46=""),L46&lt;&gt;""),OR(Overview!$G$5="",ISNUMBER(SEARCH(Overview!$G$5,D46&amp;" "&amp;E46&amp;" "&amp;F46)))),1,0)</f>
        <v>1</v>
      </c>
      <c r="V46">
        <f>V45+U46</f>
        <v>45</v>
      </c>
      <c r="W46" t="str">
        <f>IF('Tom Reid'!K14="","",'Tom Reid'!K14)</f>
        <v/>
      </c>
    </row>
    <row r="47">
      <c r="A47" t="inlineStr">
        <is>
          <t>Tom Reid - Package Manager</t>
        </is>
      </c>
      <c r="B47" t="inlineStr">
        <is>
          <t>Tom Reid</t>
        </is>
      </c>
      <c r="C47" t="n">
        <v>15</v>
      </c>
      <c r="D47" t="inlineStr">
        <is>
          <t>A1290</t>
        </is>
      </c>
      <c r="E47" t="inlineStr">
        <is>
          <t>Build package 29</t>
        </is>
      </c>
      <c r="F47" t="inlineStr">
        <is>
          <t>Construction</t>
        </is>
      </c>
      <c r="G47" t="inlineStr">
        <is>
          <t>Completed</t>
        </is>
      </c>
      <c r="H47" s="110" t="n">
        <v>45436</v>
      </c>
      <c r="I47" s="110" t="n">
        <v>45439</v>
      </c>
      <c r="J47" t="n">
        <v>100</v>
      </c>
      <c r="K47" s="110">
        <f>IF('Tom Reid'!G15="","",'Tom Reid'!G15)</f>
        <v>45436</v>
      </c>
      <c r="L47" s="110">
        <f>IF('Tom Reid'!H15="","",'Tom Reid'!H15)</f>
        <v>45439</v>
      </c>
      <c r="M47" t="str">
        <f>IF('Tom Reid'!I15="","",'Tom Reid'!I15)</f>
        <v/>
      </c>
      <c r="N47" s="110" t="str">
        <f>IF('Tom Reid'!J15="","",'Tom Reid'!J15)</f>
        <v/>
      </c>
      <c r="O47">
        <f>IF('Tom Reid'!N15="","",'Tom Reid'!N15)</f>
        <v>0</v>
      </c>
      <c r="P47" t="str">
        <f>'Tom Reid'!O15</f>
        <v>✓ Complete</v>
      </c>
      <c r="Q47" t="str">
        <f>IF('Tom Reid'!L15="","",'Tom Reid'!L15)</f>
        <v/>
      </c>
      <c r="R47">
        <f>'Tom Reid'!X15</f>
        <v>0</v>
      </c>
      <c r="S47" t="str">
        <f>""</f>
        <v/>
      </c>
      <c r="T47">
        <f>IF(OR(Overview!$C$5="Everyone",A47=Overview!$C$5),1,0)</f>
        <v>1</v>
      </c>
      <c r="U47">
        <f>IF(AND(T47=1,CHOOSE(IFERROR(MATCH(Overview!$E$5,ShowList,0),1),TRUE,OR(P47="Reason needed",P47="Start date needed",P47="Finish date needed",P47="Date in the future"),R47=0,R47=1,AND(O47&lt;&gt;"",N(O47)&gt;0,L47=""),AND(S47="Yes",L47=""),K47="",AND(K47&lt;&gt;"",L47=""),L47&lt;&gt;""),OR(Overview!$G$5="",ISNUMBER(SEARCH(Overview!$G$5,D47&amp;" "&amp;E47&amp;" "&amp;F47)))),1,0)</f>
        <v>1</v>
      </c>
      <c r="V47">
        <f>V46+U47</f>
        <v>46</v>
      </c>
      <c r="W47" t="str">
        <f>IF('Tom Reid'!K15="","",'Tom Reid'!K15)</f>
        <v/>
      </c>
    </row>
    <row r="48">
      <c r="A48" t="inlineStr">
        <is>
          <t>Tom Reid - Package Manager</t>
        </is>
      </c>
      <c r="B48" t="inlineStr">
        <is>
          <t>Tom Reid</t>
        </is>
      </c>
      <c r="C48" t="n">
        <v>16</v>
      </c>
      <c r="D48" t="inlineStr">
        <is>
          <t>A1310</t>
        </is>
      </c>
      <c r="E48" t="inlineStr">
        <is>
          <t>Build package 31</t>
        </is>
      </c>
      <c r="F48" t="inlineStr">
        <is>
          <t>Construction</t>
        </is>
      </c>
      <c r="G48" t="inlineStr">
        <is>
          <t>Completed</t>
        </is>
      </c>
      <c r="H48" s="110" t="n">
        <v>45444</v>
      </c>
      <c r="I48" s="110" t="n">
        <v>45451</v>
      </c>
      <c r="J48" t="n">
        <v>100</v>
      </c>
      <c r="K48" s="110">
        <f>IF('Tom Reid'!G16="","",'Tom Reid'!G16)</f>
        <v>45444</v>
      </c>
      <c r="L48" s="110">
        <f>IF('Tom Reid'!H16="","",'Tom Reid'!H16)</f>
        <v>45451</v>
      </c>
      <c r="M48" t="str">
        <f>IF('Tom Reid'!I16="","",'Tom Reid'!I16)</f>
        <v/>
      </c>
      <c r="N48" s="110" t="str">
        <f>IF('Tom Reid'!J16="","",'Tom Reid'!J16)</f>
        <v/>
      </c>
      <c r="O48">
        <f>IF('Tom Reid'!N16="","",'Tom Reid'!N16)</f>
        <v>0</v>
      </c>
      <c r="P48" t="str">
        <f>'Tom Reid'!O16</f>
        <v>✓ Complete</v>
      </c>
      <c r="Q48" t="str">
        <f>IF('Tom Reid'!L16="","",'Tom Reid'!L16)</f>
        <v/>
      </c>
      <c r="R48">
        <f>'Tom Reid'!X16</f>
        <v>0</v>
      </c>
      <c r="S48" t="str">
        <f>""</f>
        <v/>
      </c>
      <c r="T48">
        <f>IF(OR(Overview!$C$5="Everyone",A48=Overview!$C$5),1,0)</f>
        <v>1</v>
      </c>
      <c r="U48">
        <f>IF(AND(T48=1,CHOOSE(IFERROR(MATCH(Overview!$E$5,ShowList,0),1),TRUE,OR(P48="Reason needed",P48="Start date needed",P48="Finish date needed",P48="Date in the future"),R48=0,R48=1,AND(O48&lt;&gt;"",N(O48)&gt;0,L48=""),AND(S48="Yes",L48=""),K48="",AND(K48&lt;&gt;"",L48=""),L48&lt;&gt;""),OR(Overview!$G$5="",ISNUMBER(SEARCH(Overview!$G$5,D48&amp;" "&amp;E48&amp;" "&amp;F48)))),1,0)</f>
        <v>1</v>
      </c>
      <c r="V48">
        <f>V47+U48</f>
        <v>47</v>
      </c>
      <c r="W48" t="str">
        <f>IF('Tom Reid'!K16="","",'Tom Reid'!K16)</f>
        <v/>
      </c>
    </row>
    <row r="49">
      <c r="A49" t="inlineStr">
        <is>
          <t>Tom Reid - Package Manager</t>
        </is>
      </c>
      <c r="B49" t="inlineStr">
        <is>
          <t>Tom Reid</t>
        </is>
      </c>
      <c r="C49" t="n">
        <v>17</v>
      </c>
      <c r="D49" t="inlineStr">
        <is>
          <t>A1330</t>
        </is>
      </c>
      <c r="E49" t="inlineStr">
        <is>
          <t>Build package 33</t>
        </is>
      </c>
      <c r="F49" t="inlineStr">
        <is>
          <t>Construction</t>
        </is>
      </c>
      <c r="G49" t="inlineStr">
        <is>
          <t>Completed</t>
        </is>
      </c>
      <c r="H49" s="110" t="n">
        <v>45450</v>
      </c>
      <c r="I49" s="110" t="n">
        <v>45453</v>
      </c>
      <c r="J49" t="n">
        <v>100</v>
      </c>
      <c r="K49" s="110">
        <f>IF('Tom Reid'!G17="","",'Tom Reid'!G17)</f>
        <v>45450</v>
      </c>
      <c r="L49" s="110">
        <f>IF('Tom Reid'!H17="","",'Tom Reid'!H17)</f>
        <v>45453</v>
      </c>
      <c r="M49" t="str">
        <f>IF('Tom Reid'!I17="","",'Tom Reid'!I17)</f>
        <v/>
      </c>
      <c r="N49" s="110" t="str">
        <f>IF('Tom Reid'!J17="","",'Tom Reid'!J17)</f>
        <v/>
      </c>
      <c r="O49">
        <f>IF('Tom Reid'!N17="","",'Tom Reid'!N17)</f>
        <v>0</v>
      </c>
      <c r="P49" t="str">
        <f>'Tom Reid'!O17</f>
        <v>✓ Complete</v>
      </c>
      <c r="Q49" t="str">
        <f>IF('Tom Reid'!L17="","",'Tom Reid'!L17)</f>
        <v/>
      </c>
      <c r="R49">
        <f>'Tom Reid'!X17</f>
        <v>0</v>
      </c>
      <c r="S49" t="str">
        <f>""</f>
        <v/>
      </c>
      <c r="T49">
        <f>IF(OR(Overview!$C$5="Everyone",A49=Overview!$C$5),1,0)</f>
        <v>1</v>
      </c>
      <c r="U49">
        <f>IF(AND(T49=1,CHOOSE(IFERROR(MATCH(Overview!$E$5,ShowList,0),1),TRUE,OR(P49="Reason needed",P49="Start date needed",P49="Finish date needed",P49="Date in the future"),R49=0,R49=1,AND(O49&lt;&gt;"",N(O49)&gt;0,L49=""),AND(S49="Yes",L49=""),K49="",AND(K49&lt;&gt;"",L49=""),L49&lt;&gt;""),OR(Overview!$G$5="",ISNUMBER(SEARCH(Overview!$G$5,D49&amp;" "&amp;E49&amp;" "&amp;F49)))),1,0)</f>
        <v>1</v>
      </c>
      <c r="V49">
        <f>V48+U49</f>
        <v>48</v>
      </c>
      <c r="W49" t="str">
        <f>IF('Tom Reid'!K17="","",'Tom Reid'!K17)</f>
        <v/>
      </c>
    </row>
    <row r="50">
      <c r="A50" t="inlineStr">
        <is>
          <t>Tom Reid - Package Manager</t>
        </is>
      </c>
      <c r="B50" t="inlineStr">
        <is>
          <t>Tom Reid</t>
        </is>
      </c>
      <c r="C50" t="n">
        <v>18</v>
      </c>
      <c r="D50" t="inlineStr">
        <is>
          <t>A1350</t>
        </is>
      </c>
      <c r="E50" t="inlineStr">
        <is>
          <t>Build package 35</t>
        </is>
      </c>
      <c r="F50" t="inlineStr">
        <is>
          <t>Construction</t>
        </is>
      </c>
      <c r="G50" t="inlineStr">
        <is>
          <t>In Progress</t>
        </is>
      </c>
      <c r="H50" s="110" t="n">
        <v>45453</v>
      </c>
      <c r="I50" s="110" t="n">
        <v>45464</v>
      </c>
      <c r="J50" t="n">
        <v>60</v>
      </c>
      <c r="K50" s="110">
        <f>IF('Tom Reid'!G18="","",'Tom Reid'!G18)</f>
        <v>45453</v>
      </c>
      <c r="L50" s="110" t="str">
        <f>IF('Tom Reid'!H18="","",'Tom Reid'!H18)</f>
        <v/>
      </c>
      <c r="M50" t="str">
        <f>IF('Tom Reid'!I18="","",'Tom Reid'!I18)</f>
        <v/>
      </c>
      <c r="N50" s="110" t="str">
        <f>IF('Tom Reid'!J18="","",'Tom Reid'!J18)</f>
        <v/>
      </c>
      <c r="O50">
        <f>IF('Tom Reid'!N18="","",'Tom Reid'!N18)</f>
        <v>0</v>
      </c>
      <c r="P50" t="str">
        <f>'Tom Reid'!O18</f>
        <v>Finish date needed</v>
      </c>
      <c r="Q50" t="str">
        <f>IF('Tom Reid'!L18="","",'Tom Reid'!L18)</f>
        <v/>
      </c>
      <c r="R50">
        <f>'Tom Reid'!X18</f>
        <v>0</v>
      </c>
      <c r="S50" t="inlineStr">
        <is>
          <t>Yes</t>
        </is>
      </c>
      <c r="T50">
        <f>IF(OR(Overview!$C$5="Everyone",A50=Overview!$C$5),1,0)</f>
        <v>1</v>
      </c>
      <c r="U50">
        <f>IF(AND(T50=1,CHOOSE(IFERROR(MATCH(Overview!$E$5,ShowList,0),1),TRUE,OR(P50="Reason needed",P50="Start date needed",P50="Finish date needed",P50="Date in the future"),R50=0,R50=1,AND(O50&lt;&gt;"",N(O50)&gt;0,L50=""),AND(S50="Yes",L50=""),K50="",AND(K50&lt;&gt;"",L50=""),L50&lt;&gt;""),OR(Overview!$G$5="",ISNUMBER(SEARCH(Overview!$G$5,D50&amp;" "&amp;E50&amp;" "&amp;F50)))),1,0)</f>
        <v>1</v>
      </c>
      <c r="V50">
        <f>V49+U50</f>
        <v>49</v>
      </c>
      <c r="W50" t="str">
        <f>IF('Tom Reid'!K18="","",'Tom Reid'!K18)</f>
        <v/>
      </c>
    </row>
    <row r="51">
      <c r="A51" t="inlineStr">
        <is>
          <t>Tom Reid - Package Manager</t>
        </is>
      </c>
      <c r="B51" t="inlineStr">
        <is>
          <t>Tom Reid</t>
        </is>
      </c>
      <c r="C51" t="n">
        <v>19</v>
      </c>
      <c r="D51" t="inlineStr">
        <is>
          <t>A1370</t>
        </is>
      </c>
      <c r="E51" t="inlineStr">
        <is>
          <t>Build package 37</t>
        </is>
      </c>
      <c r="F51" t="inlineStr">
        <is>
          <t>Construction</t>
        </is>
      </c>
      <c r="G51" t="inlineStr">
        <is>
          <t>In Progress</t>
        </is>
      </c>
      <c r="H51" s="110" t="n">
        <v>45468</v>
      </c>
      <c r="I51" s="110" t="n">
        <v>45475</v>
      </c>
      <c r="J51" t="n">
        <v>40</v>
      </c>
      <c r="K51" s="110">
        <f>IF('Tom Reid'!G19="","",'Tom Reid'!G19)</f>
        <v>45468</v>
      </c>
      <c r="L51" s="110" t="str">
        <f>IF('Tom Reid'!H19="","",'Tom Reid'!H19)</f>
        <v/>
      </c>
      <c r="M51" t="str">
        <f>IF('Tom Reid'!I19="","",'Tom Reid'!I19)</f>
        <v/>
      </c>
      <c r="N51" s="110" t="str">
        <f>IF('Tom Reid'!J19="","",'Tom Reid'!J19)</f>
        <v/>
      </c>
      <c r="O51">
        <f>IF('Tom Reid'!N19="","",'Tom Reid'!N19)</f>
        <v>0</v>
      </c>
      <c r="P51" t="str">
        <f>'Tom Reid'!O19</f>
        <v>Not changed yet</v>
      </c>
      <c r="Q51" t="str">
        <f>IF('Tom Reid'!L19="","",'Tom Reid'!L19)</f>
        <v/>
      </c>
      <c r="R51">
        <f>'Tom Reid'!X19</f>
        <v>0</v>
      </c>
      <c r="S51" t="inlineStr">
        <is>
          <t>Yes</t>
        </is>
      </c>
      <c r="T51">
        <f>IF(OR(Overview!$C$5="Everyone",A51=Overview!$C$5),1,0)</f>
        <v>1</v>
      </c>
      <c r="U51">
        <f>IF(AND(T51=1,CHOOSE(IFERROR(MATCH(Overview!$E$5,ShowList,0),1),TRUE,OR(P51="Reason needed",P51="Start date needed",P51="Finish date needed",P51="Date in the future"),R51=0,R51=1,AND(O51&lt;&gt;"",N(O51)&gt;0,L51=""),AND(S51="Yes",L51=""),K51="",AND(K51&lt;&gt;"",L51=""),L51&lt;&gt;""),OR(Overview!$G$5="",ISNUMBER(SEARCH(Overview!$G$5,D51&amp;" "&amp;E51&amp;" "&amp;F51)))),1,0)</f>
        <v>1</v>
      </c>
      <c r="V51">
        <f>V50+U51</f>
        <v>50</v>
      </c>
      <c r="W51" t="str">
        <f>IF('Tom Reid'!K19="","",'Tom Reid'!K19)</f>
        <v/>
      </c>
    </row>
    <row r="52">
      <c r="A52" t="inlineStr">
        <is>
          <t>Tom Reid - Package Manager</t>
        </is>
      </c>
      <c r="B52" t="inlineStr">
        <is>
          <t>Tom Reid</t>
        </is>
      </c>
      <c r="C52" t="n">
        <v>20</v>
      </c>
      <c r="D52" t="inlineStr">
        <is>
          <t>A1390</t>
        </is>
      </c>
      <c r="E52" t="inlineStr">
        <is>
          <t>Build package 39</t>
        </is>
      </c>
      <c r="F52" t="inlineStr">
        <is>
          <t>Construction</t>
        </is>
      </c>
      <c r="G52" t="inlineStr">
        <is>
          <t>Not Started</t>
        </is>
      </c>
      <c r="H52" s="110" t="n">
        <v>45478</v>
      </c>
      <c r="I52" s="110" t="n">
        <v>45548</v>
      </c>
      <c r="J52" t="n">
        <v>0</v>
      </c>
      <c r="K52" s="110" t="str">
        <f>IF('Tom Reid'!G20="","",'Tom Reid'!G20)</f>
        <v/>
      </c>
      <c r="L52" s="110" t="str">
        <f>IF('Tom Reid'!H20="","",'Tom Reid'!H20)</f>
        <v/>
      </c>
      <c r="M52" t="str">
        <f>IF('Tom Reid'!I20="","",'Tom Reid'!I20)</f>
        <v/>
      </c>
      <c r="N52" s="110" t="str">
        <f>IF('Tom Reid'!J20="","",'Tom Reid'!J20)</f>
        <v/>
      </c>
      <c r="O52">
        <f>IF('Tom Reid'!N20="","",'Tom Reid'!N20)</f>
        <v>0</v>
      </c>
      <c r="P52" t="str">
        <f>'Tom Reid'!O20</f>
        <v>Not changed yet</v>
      </c>
      <c r="Q52" t="str">
        <f>IF('Tom Reid'!L20="","",'Tom Reid'!L20)</f>
        <v/>
      </c>
      <c r="R52">
        <f>'Tom Reid'!X20</f>
        <v>0</v>
      </c>
      <c r="S52" t="inlineStr">
        <is>
          <t>Yes</t>
        </is>
      </c>
      <c r="T52">
        <f>IF(OR(Overview!$C$5="Everyone",A52=Overview!$C$5),1,0)</f>
        <v>1</v>
      </c>
      <c r="U52">
        <f>IF(AND(T52=1,CHOOSE(IFERROR(MATCH(Overview!$E$5,ShowList,0),1),TRUE,OR(P52="Reason needed",P52="Start date needed",P52="Finish date needed",P52="Date in the future"),R52=0,R52=1,AND(O52&lt;&gt;"",N(O52)&gt;0,L52=""),AND(S52="Yes",L52=""),K52="",AND(K52&lt;&gt;"",L52=""),L52&lt;&gt;""),OR(Overview!$G$5="",ISNUMBER(SEARCH(Overview!$G$5,D52&amp;" "&amp;E52&amp;" "&amp;F52)))),1,0)</f>
        <v>1</v>
      </c>
      <c r="V52">
        <f>V51+U52</f>
        <v>51</v>
      </c>
      <c r="W52" t="str">
        <f>IF('Tom Reid'!K20="","",'Tom Reid'!K20)</f>
        <v/>
      </c>
    </row>
    <row r="53">
      <c r="A53" t="inlineStr">
        <is>
          <t>Tom Reid - Package Manager</t>
        </is>
      </c>
      <c r="B53" t="inlineStr">
        <is>
          <t>Tom Reid</t>
        </is>
      </c>
      <c r="C53" t="n">
        <v>21</v>
      </c>
      <c r="D53" t="inlineStr">
        <is>
          <t>A1410</t>
        </is>
      </c>
      <c r="E53" t="inlineStr">
        <is>
          <t>Build package 41</t>
        </is>
      </c>
      <c r="F53" t="inlineStr">
        <is>
          <t>Construction</t>
        </is>
      </c>
      <c r="G53" t="inlineStr">
        <is>
          <t>Not Started</t>
        </is>
      </c>
      <c r="H53" s="110" t="n">
        <v>45516</v>
      </c>
      <c r="I53" s="110" t="n">
        <v>45537</v>
      </c>
      <c r="J53" t="n">
        <v>0</v>
      </c>
      <c r="K53" s="110" t="str">
        <f>IF('Tom Reid'!G21="","",'Tom Reid'!G21)</f>
        <v/>
      </c>
      <c r="L53" s="110" t="str">
        <f>IF('Tom Reid'!H21="","",'Tom Reid'!H21)</f>
        <v/>
      </c>
      <c r="M53" t="str">
        <f>IF('Tom Reid'!I21="","",'Tom Reid'!I21)</f>
        <v/>
      </c>
      <c r="N53" s="110" t="str">
        <f>IF('Tom Reid'!J21="","",'Tom Reid'!J21)</f>
        <v/>
      </c>
      <c r="O53">
        <f>IF('Tom Reid'!N21="","",'Tom Reid'!N21)</f>
        <v>0</v>
      </c>
      <c r="P53" t="str">
        <f>'Tom Reid'!O21</f>
        <v>Not changed yet</v>
      </c>
      <c r="Q53" t="str">
        <f>IF('Tom Reid'!L21="","",'Tom Reid'!L21)</f>
        <v/>
      </c>
      <c r="R53">
        <f>'Tom Reid'!X21</f>
        <v>0</v>
      </c>
      <c r="S53" t="inlineStr">
        <is>
          <t>Yes</t>
        </is>
      </c>
      <c r="T53">
        <f>IF(OR(Overview!$C$5="Everyone",A53=Overview!$C$5),1,0)</f>
        <v>1</v>
      </c>
      <c r="U53">
        <f>IF(AND(T53=1,CHOOSE(IFERROR(MATCH(Overview!$E$5,ShowList,0),1),TRUE,OR(P53="Reason needed",P53="Start date needed",P53="Finish date needed",P53="Date in the future"),R53=0,R53=1,AND(O53&lt;&gt;"",N(O53)&gt;0,L53=""),AND(S53="Yes",L53=""),K53="",AND(K53&lt;&gt;"",L53=""),L53&lt;&gt;""),OR(Overview!$G$5="",ISNUMBER(SEARCH(Overview!$G$5,D53&amp;" "&amp;E53&amp;" "&amp;F53)))),1,0)</f>
        <v>1</v>
      </c>
      <c r="V53">
        <f>V52+U53</f>
        <v>52</v>
      </c>
      <c r="W53" t="str">
        <f>IF('Tom Reid'!K21="","",'Tom Reid'!K21)</f>
        <v/>
      </c>
    </row>
    <row r="54">
      <c r="A54" t="inlineStr">
        <is>
          <t>Tom Reid - Package Manager</t>
        </is>
      </c>
      <c r="B54" t="inlineStr">
        <is>
          <t>Tom Reid</t>
        </is>
      </c>
      <c r="C54" t="n">
        <v>22</v>
      </c>
      <c r="D54" t="inlineStr">
        <is>
          <t>A1430</t>
        </is>
      </c>
      <c r="E54" t="inlineStr">
        <is>
          <t>Build package 43</t>
        </is>
      </c>
      <c r="F54" t="inlineStr">
        <is>
          <t>Construction</t>
        </is>
      </c>
      <c r="G54" t="inlineStr">
        <is>
          <t>Not Started</t>
        </is>
      </c>
      <c r="H54" s="110" t="n">
        <v>45527</v>
      </c>
      <c r="I54" s="110" t="n">
        <v>45548</v>
      </c>
      <c r="J54" t="n">
        <v>0</v>
      </c>
      <c r="K54" s="110" t="str">
        <f>IF('Tom Reid'!G22="","",'Tom Reid'!G22)</f>
        <v/>
      </c>
      <c r="L54" s="110" t="str">
        <f>IF('Tom Reid'!H22="","",'Tom Reid'!H22)</f>
        <v/>
      </c>
      <c r="M54" t="str">
        <f>IF('Tom Reid'!I22="","",'Tom Reid'!I22)</f>
        <v/>
      </c>
      <c r="N54" s="110" t="str">
        <f>IF('Tom Reid'!J22="","",'Tom Reid'!J22)</f>
        <v/>
      </c>
      <c r="O54">
        <f>IF('Tom Reid'!N22="","",'Tom Reid'!N22)</f>
        <v>0</v>
      </c>
      <c r="P54" t="str">
        <f>'Tom Reid'!O22</f>
        <v>Not changed yet</v>
      </c>
      <c r="Q54" t="str">
        <f>IF('Tom Reid'!L22="","",'Tom Reid'!L22)</f>
        <v/>
      </c>
      <c r="R54">
        <f>'Tom Reid'!X22</f>
        <v>0</v>
      </c>
      <c r="S54" t="inlineStr">
        <is>
          <t>Yes</t>
        </is>
      </c>
      <c r="T54">
        <f>IF(OR(Overview!$C$5="Everyone",A54=Overview!$C$5),1,0)</f>
        <v>1</v>
      </c>
      <c r="U54">
        <f>IF(AND(T54=1,CHOOSE(IFERROR(MATCH(Overview!$E$5,ShowList,0),1),TRUE,OR(P54="Reason needed",P54="Start date needed",P54="Finish date needed",P54="Date in the future"),R54=0,R54=1,AND(O54&lt;&gt;"",N(O54)&gt;0,L54=""),AND(S54="Yes",L54=""),K54="",AND(K54&lt;&gt;"",L54=""),L54&lt;&gt;""),OR(Overview!$G$5="",ISNUMBER(SEARCH(Overview!$G$5,D54&amp;" "&amp;E54&amp;" "&amp;F54)))),1,0)</f>
        <v>1</v>
      </c>
      <c r="V54">
        <f>V53+U54</f>
        <v>53</v>
      </c>
      <c r="W54" t="str">
        <f>IF('Tom Reid'!K22="","",'Tom Reid'!K22)</f>
        <v/>
      </c>
    </row>
    <row r="55">
      <c r="A55" t="inlineStr">
        <is>
          <t>Tom Reid - Package Manager</t>
        </is>
      </c>
      <c r="B55" t="inlineStr">
        <is>
          <t>Tom Reid</t>
        </is>
      </c>
      <c r="C55" t="n">
        <v>23</v>
      </c>
      <c r="D55" t="inlineStr">
        <is>
          <t>A1450</t>
        </is>
      </c>
      <c r="E55" t="inlineStr">
        <is>
          <t>Build package 45</t>
        </is>
      </c>
      <c r="F55" t="inlineStr">
        <is>
          <t>Construction</t>
        </is>
      </c>
      <c r="G55" t="inlineStr">
        <is>
          <t>Not Started</t>
        </is>
      </c>
      <c r="H55" s="110" t="n">
        <v>45540</v>
      </c>
      <c r="I55" s="110" t="n">
        <v>45561</v>
      </c>
      <c r="J55" t="n">
        <v>0</v>
      </c>
      <c r="K55" s="110" t="str">
        <f>IF('Tom Reid'!G23="","",'Tom Reid'!G23)</f>
        <v/>
      </c>
      <c r="L55" s="110" t="str">
        <f>IF('Tom Reid'!H23="","",'Tom Reid'!H23)</f>
        <v/>
      </c>
      <c r="M55" t="str">
        <f>IF('Tom Reid'!I23="","",'Tom Reid'!I23)</f>
        <v/>
      </c>
      <c r="N55" s="110" t="str">
        <f>IF('Tom Reid'!J23="","",'Tom Reid'!J23)</f>
        <v/>
      </c>
      <c r="O55">
        <f>IF('Tom Reid'!N23="","",'Tom Reid'!N23)</f>
        <v>0</v>
      </c>
      <c r="P55" t="str">
        <f>'Tom Reid'!O23</f>
        <v>Not changed yet</v>
      </c>
      <c r="Q55" t="str">
        <f>IF('Tom Reid'!L23="","",'Tom Reid'!L23)</f>
        <v/>
      </c>
      <c r="R55">
        <f>'Tom Reid'!X23</f>
        <v>0</v>
      </c>
      <c r="S55" t="str">
        <f>""</f>
        <v/>
      </c>
      <c r="T55">
        <f>IF(OR(Overview!$C$5="Everyone",A55=Overview!$C$5),1,0)</f>
        <v>1</v>
      </c>
      <c r="U55">
        <f>IF(AND(T55=1,CHOOSE(IFERROR(MATCH(Overview!$E$5,ShowList,0),1),TRUE,OR(P55="Reason needed",P55="Start date needed",P55="Finish date needed",P55="Date in the future"),R55=0,R55=1,AND(O55&lt;&gt;"",N(O55)&gt;0,L55=""),AND(S55="Yes",L55=""),K55="",AND(K55&lt;&gt;"",L55=""),L55&lt;&gt;""),OR(Overview!$G$5="",ISNUMBER(SEARCH(Overview!$G$5,D55&amp;" "&amp;E55&amp;" "&amp;F55)))),1,0)</f>
        <v>1</v>
      </c>
      <c r="V55">
        <f>V54+U55</f>
        <v>54</v>
      </c>
      <c r="W55" t="str">
        <f>IF('Tom Reid'!K23="","",'Tom Reid'!K23)</f>
        <v/>
      </c>
    </row>
    <row r="56">
      <c r="A56" t="inlineStr">
        <is>
          <t>Tom Reid - Package Manager</t>
        </is>
      </c>
      <c r="B56" t="inlineStr">
        <is>
          <t>Tom Reid</t>
        </is>
      </c>
      <c r="C56" t="n">
        <v>24</v>
      </c>
      <c r="D56" t="inlineStr">
        <is>
          <t>A1470</t>
        </is>
      </c>
      <c r="E56" t="inlineStr">
        <is>
          <t>Build package 47</t>
        </is>
      </c>
      <c r="F56" t="inlineStr">
        <is>
          <t>Construction</t>
        </is>
      </c>
      <c r="G56" t="inlineStr">
        <is>
          <t>Not Started</t>
        </is>
      </c>
      <c r="H56" s="110" t="n">
        <v>45551</v>
      </c>
      <c r="I56" s="110" t="n">
        <v>45558</v>
      </c>
      <c r="J56" t="n">
        <v>0</v>
      </c>
      <c r="K56" s="110" t="str">
        <f>IF('Tom Reid'!G24="","",'Tom Reid'!G24)</f>
        <v/>
      </c>
      <c r="L56" s="110" t="str">
        <f>IF('Tom Reid'!H24="","",'Tom Reid'!H24)</f>
        <v/>
      </c>
      <c r="M56" t="str">
        <f>IF('Tom Reid'!I24="","",'Tom Reid'!I24)</f>
        <v/>
      </c>
      <c r="N56" s="110" t="str">
        <f>IF('Tom Reid'!J24="","",'Tom Reid'!J24)</f>
        <v/>
      </c>
      <c r="O56">
        <f>IF('Tom Reid'!N24="","",'Tom Reid'!N24)</f>
        <v>0</v>
      </c>
      <c r="P56" t="str">
        <f>'Tom Reid'!O24</f>
        <v>Not changed yet</v>
      </c>
      <c r="Q56" t="str">
        <f>IF('Tom Reid'!L24="","",'Tom Reid'!L24)</f>
        <v/>
      </c>
      <c r="R56">
        <f>'Tom Reid'!X24</f>
        <v>0</v>
      </c>
      <c r="S56" t="inlineStr">
        <is>
          <t>Yes</t>
        </is>
      </c>
      <c r="T56">
        <f>IF(OR(Overview!$C$5="Everyone",A56=Overview!$C$5),1,0)</f>
        <v>1</v>
      </c>
      <c r="U56">
        <f>IF(AND(T56=1,CHOOSE(IFERROR(MATCH(Overview!$E$5,ShowList,0),1),TRUE,OR(P56="Reason needed",P56="Start date needed",P56="Finish date needed",P56="Date in the future"),R56=0,R56=1,AND(O56&lt;&gt;"",N(O56)&gt;0,L56=""),AND(S56="Yes",L56=""),K56="",AND(K56&lt;&gt;"",L56=""),L56&lt;&gt;""),OR(Overview!$G$5="",ISNUMBER(SEARCH(Overview!$G$5,D56&amp;" "&amp;E56&amp;" "&amp;F56)))),1,0)</f>
        <v>1</v>
      </c>
      <c r="V56">
        <f>V55+U56</f>
        <v>55</v>
      </c>
      <c r="W56" t="str">
        <f>IF('Tom Reid'!K24="","",'Tom Reid'!K24)</f>
        <v/>
      </c>
    </row>
    <row r="57">
      <c r="A57" t="inlineStr">
        <is>
          <t>Tom Reid - Package Manager</t>
        </is>
      </c>
      <c r="B57" t="inlineStr">
        <is>
          <t>Tom Reid</t>
        </is>
      </c>
      <c r="C57" t="n">
        <v>25</v>
      </c>
      <c r="D57" t="inlineStr">
        <is>
          <t>A1490</t>
        </is>
      </c>
      <c r="E57" t="inlineStr">
        <is>
          <t>Build package 49</t>
        </is>
      </c>
      <c r="F57" t="inlineStr">
        <is>
          <t>Construction</t>
        </is>
      </c>
      <c r="G57" t="inlineStr">
        <is>
          <t>Not Started</t>
        </is>
      </c>
      <c r="H57" s="110" t="n">
        <v>45561</v>
      </c>
      <c r="I57" s="110" t="n">
        <v>45572</v>
      </c>
      <c r="J57" t="n">
        <v>0</v>
      </c>
      <c r="K57" s="110" t="str">
        <f>IF('Tom Reid'!G25="","",'Tom Reid'!G25)</f>
        <v/>
      </c>
      <c r="L57" s="110" t="str">
        <f>IF('Tom Reid'!H25="","",'Tom Reid'!H25)</f>
        <v/>
      </c>
      <c r="M57" t="str">
        <f>IF('Tom Reid'!I25="","",'Tom Reid'!I25)</f>
        <v/>
      </c>
      <c r="N57" s="110" t="str">
        <f>IF('Tom Reid'!J25="","",'Tom Reid'!J25)</f>
        <v/>
      </c>
      <c r="O57">
        <f>IF('Tom Reid'!N25="","",'Tom Reid'!N25)</f>
        <v>0</v>
      </c>
      <c r="P57" t="str">
        <f>'Tom Reid'!O25</f>
        <v>Not changed yet</v>
      </c>
      <c r="Q57" t="str">
        <f>IF('Tom Reid'!L25="","",'Tom Reid'!L25)</f>
        <v/>
      </c>
      <c r="R57">
        <f>'Tom Reid'!X25</f>
        <v>0</v>
      </c>
      <c r="S57" t="inlineStr">
        <is>
          <t>Yes</t>
        </is>
      </c>
      <c r="T57">
        <f>IF(OR(Overview!$C$5="Everyone",A57=Overview!$C$5),1,0)</f>
        <v>1</v>
      </c>
      <c r="U57">
        <f>IF(AND(T57=1,CHOOSE(IFERROR(MATCH(Overview!$E$5,ShowList,0),1),TRUE,OR(P57="Reason needed",P57="Start date needed",P57="Finish date needed",P57="Date in the future"),R57=0,R57=1,AND(O57&lt;&gt;"",N(O57)&gt;0,L57=""),AND(S57="Yes",L57=""),K57="",AND(K57&lt;&gt;"",L57=""),L57&lt;&gt;""),OR(Overview!$G$5="",ISNUMBER(SEARCH(Overview!$G$5,D57&amp;" "&amp;E57&amp;" "&amp;F57)))),1,0)</f>
        <v>1</v>
      </c>
      <c r="V57">
        <f>V56+U57</f>
        <v>56</v>
      </c>
      <c r="W57" t="str">
        <f>IF('Tom Reid'!K25="","",'Tom Reid'!K25)</f>
        <v/>
      </c>
    </row>
    <row r="58">
      <c r="A58" t="inlineStr">
        <is>
          <t>Tom Reid - Package Manager</t>
        </is>
      </c>
      <c r="B58" t="inlineStr">
        <is>
          <t>Tom Reid</t>
        </is>
      </c>
      <c r="C58" t="n">
        <v>26</v>
      </c>
      <c r="D58" t="inlineStr">
        <is>
          <t>A1510</t>
        </is>
      </c>
      <c r="E58" t="inlineStr">
        <is>
          <t>Build package 51</t>
        </is>
      </c>
      <c r="F58" t="inlineStr">
        <is>
          <t>Construction</t>
        </is>
      </c>
      <c r="G58" t="inlineStr">
        <is>
          <t>Not Started</t>
        </is>
      </c>
      <c r="H58" s="110" t="n">
        <v>45568</v>
      </c>
      <c r="I58" s="110" t="n">
        <v>45572</v>
      </c>
      <c r="J58" t="n">
        <v>0</v>
      </c>
      <c r="K58" s="110" t="str">
        <f>IF('Tom Reid'!G26="","",'Tom Reid'!G26)</f>
        <v/>
      </c>
      <c r="L58" s="110" t="str">
        <f>IF('Tom Reid'!H26="","",'Tom Reid'!H26)</f>
        <v/>
      </c>
      <c r="M58" t="str">
        <f>IF('Tom Reid'!I26="","",'Tom Reid'!I26)</f>
        <v/>
      </c>
      <c r="N58" s="110" t="str">
        <f>IF('Tom Reid'!J26="","",'Tom Reid'!J26)</f>
        <v/>
      </c>
      <c r="O58">
        <f>IF('Tom Reid'!N26="","",'Tom Reid'!N26)</f>
        <v>0</v>
      </c>
      <c r="P58" t="str">
        <f>'Tom Reid'!O26</f>
        <v>Not changed yet</v>
      </c>
      <c r="Q58" t="str">
        <f>IF('Tom Reid'!L26="","",'Tom Reid'!L26)</f>
        <v/>
      </c>
      <c r="R58">
        <f>'Tom Reid'!X26</f>
        <v>0</v>
      </c>
      <c r="S58" t="str">
        <f>""</f>
        <v/>
      </c>
      <c r="T58">
        <f>IF(OR(Overview!$C$5="Everyone",A58=Overview!$C$5),1,0)</f>
        <v>1</v>
      </c>
      <c r="U58">
        <f>IF(AND(T58=1,CHOOSE(IFERROR(MATCH(Overview!$E$5,ShowList,0),1),TRUE,OR(P58="Reason needed",P58="Start date needed",P58="Finish date needed",P58="Date in the future"),R58=0,R58=1,AND(O58&lt;&gt;"",N(O58)&gt;0,L58=""),AND(S58="Yes",L58=""),K58="",AND(K58&lt;&gt;"",L58=""),L58&lt;&gt;""),OR(Overview!$G$5="",ISNUMBER(SEARCH(Overview!$G$5,D58&amp;" "&amp;E58&amp;" "&amp;F58)))),1,0)</f>
        <v>1</v>
      </c>
      <c r="V58">
        <f>V57+U58</f>
        <v>57</v>
      </c>
      <c r="W58" t="str">
        <f>IF('Tom Reid'!K26="","",'Tom Reid'!K26)</f>
        <v/>
      </c>
    </row>
    <row r="59">
      <c r="A59" t="inlineStr">
        <is>
          <t>Tom Reid - Package Manager</t>
        </is>
      </c>
      <c r="B59" t="inlineStr">
        <is>
          <t>Tom Reid</t>
        </is>
      </c>
      <c r="C59" t="n">
        <v>27</v>
      </c>
      <c r="D59" t="inlineStr">
        <is>
          <t>A1530</t>
        </is>
      </c>
      <c r="E59" t="inlineStr">
        <is>
          <t>Build package 53</t>
        </is>
      </c>
      <c r="F59" t="inlineStr">
        <is>
          <t>Construction</t>
        </is>
      </c>
      <c r="G59" t="inlineStr">
        <is>
          <t>Not Started</t>
        </is>
      </c>
      <c r="H59" s="110" t="n">
        <v>45575</v>
      </c>
      <c r="I59" s="110" t="n">
        <v>45645</v>
      </c>
      <c r="J59" t="n">
        <v>0</v>
      </c>
      <c r="K59" s="110" t="str">
        <f>IF('Tom Reid'!G27="","",'Tom Reid'!G27)</f>
        <v/>
      </c>
      <c r="L59" s="110" t="str">
        <f>IF('Tom Reid'!H27="","",'Tom Reid'!H27)</f>
        <v/>
      </c>
      <c r="M59" t="str">
        <f>IF('Tom Reid'!I27="","",'Tom Reid'!I27)</f>
        <v/>
      </c>
      <c r="N59" s="110" t="str">
        <f>IF('Tom Reid'!J27="","",'Tom Reid'!J27)</f>
        <v/>
      </c>
      <c r="O59">
        <f>IF('Tom Reid'!N27="","",'Tom Reid'!N27)</f>
        <v>0</v>
      </c>
      <c r="P59" t="str">
        <f>'Tom Reid'!O27</f>
        <v>Not changed yet</v>
      </c>
      <c r="Q59" t="str">
        <f>IF('Tom Reid'!L27="","",'Tom Reid'!L27)</f>
        <v/>
      </c>
      <c r="R59">
        <f>'Tom Reid'!X27</f>
        <v>0</v>
      </c>
      <c r="S59" t="inlineStr">
        <is>
          <t>Yes</t>
        </is>
      </c>
      <c r="T59">
        <f>IF(OR(Overview!$C$5="Everyone",A59=Overview!$C$5),1,0)</f>
        <v>1</v>
      </c>
      <c r="U59">
        <f>IF(AND(T59=1,CHOOSE(IFERROR(MATCH(Overview!$E$5,ShowList,0),1),TRUE,OR(P59="Reason needed",P59="Start date needed",P59="Finish date needed",P59="Date in the future"),R59=0,R59=1,AND(O59&lt;&gt;"",N(O59)&gt;0,L59=""),AND(S59="Yes",L59=""),K59="",AND(K59&lt;&gt;"",L59=""),L59&lt;&gt;""),OR(Overview!$G$5="",ISNUMBER(SEARCH(Overview!$G$5,D59&amp;" "&amp;E59&amp;" "&amp;F59)))),1,0)</f>
        <v>1</v>
      </c>
      <c r="V59">
        <f>V58+U59</f>
        <v>58</v>
      </c>
      <c r="W59" t="str">
        <f>IF('Tom Reid'!K27="","",'Tom Reid'!K27)</f>
        <v/>
      </c>
    </row>
    <row r="60">
      <c r="A60" t="inlineStr">
        <is>
          <t>Tom Reid - Package Manager</t>
        </is>
      </c>
      <c r="B60" t="inlineStr">
        <is>
          <t>Tom Reid</t>
        </is>
      </c>
      <c r="C60" t="n">
        <v>28</v>
      </c>
      <c r="D60" t="inlineStr">
        <is>
          <t>A1550</t>
        </is>
      </c>
      <c r="E60" t="inlineStr">
        <is>
          <t>Build package 55</t>
        </is>
      </c>
      <c r="F60" t="inlineStr">
        <is>
          <t>Construction</t>
        </is>
      </c>
      <c r="G60" t="inlineStr">
        <is>
          <t>Not Started</t>
        </is>
      </c>
      <c r="H60" s="110" t="n">
        <v>45611</v>
      </c>
      <c r="I60" s="110" t="n">
        <v>45622</v>
      </c>
      <c r="J60" t="n">
        <v>0</v>
      </c>
      <c r="K60" s="110" t="str">
        <f>IF('Tom Reid'!G28="","",'Tom Reid'!G28)</f>
        <v/>
      </c>
      <c r="L60" s="110" t="str">
        <f>IF('Tom Reid'!H28="","",'Tom Reid'!H28)</f>
        <v/>
      </c>
      <c r="M60" t="str">
        <f>IF('Tom Reid'!I28="","",'Tom Reid'!I28)</f>
        <v/>
      </c>
      <c r="N60" s="110" t="str">
        <f>IF('Tom Reid'!J28="","",'Tom Reid'!J28)</f>
        <v/>
      </c>
      <c r="O60">
        <f>IF('Tom Reid'!N28="","",'Tom Reid'!N28)</f>
        <v>0</v>
      </c>
      <c r="P60" t="str">
        <f>'Tom Reid'!O28</f>
        <v>Not changed yet</v>
      </c>
      <c r="Q60" t="str">
        <f>IF('Tom Reid'!L28="","",'Tom Reid'!L28)</f>
        <v/>
      </c>
      <c r="R60">
        <f>'Tom Reid'!X28</f>
        <v>0</v>
      </c>
      <c r="S60" t="str">
        <f>""</f>
        <v/>
      </c>
      <c r="T60">
        <f>IF(OR(Overview!$C$5="Everyone",A60=Overview!$C$5),1,0)</f>
        <v>1</v>
      </c>
      <c r="U60">
        <f>IF(AND(T60=1,CHOOSE(IFERROR(MATCH(Overview!$E$5,ShowList,0),1),TRUE,OR(P60="Reason needed",P60="Start date needed",P60="Finish date needed",P60="Date in the future"),R60=0,R60=1,AND(O60&lt;&gt;"",N(O60)&gt;0,L60=""),AND(S60="Yes",L60=""),K60="",AND(K60&lt;&gt;"",L60=""),L60&lt;&gt;""),OR(Overview!$G$5="",ISNUMBER(SEARCH(Overview!$G$5,D60&amp;" "&amp;E60&amp;" "&amp;F60)))),1,0)</f>
        <v>1</v>
      </c>
      <c r="V60">
        <f>V59+U60</f>
        <v>59</v>
      </c>
      <c r="W60" t="str">
        <f>IF('Tom Reid'!K28="","",'Tom Reid'!K28)</f>
        <v/>
      </c>
    </row>
    <row r="61">
      <c r="A61" t="inlineStr">
        <is>
          <t>Tom Reid - Package Manager</t>
        </is>
      </c>
      <c r="B61" t="inlineStr">
        <is>
          <t>Tom Reid</t>
        </is>
      </c>
      <c r="C61" t="n">
        <v>29</v>
      </c>
      <c r="D61" t="inlineStr">
        <is>
          <t>A1570</t>
        </is>
      </c>
      <c r="E61" t="inlineStr">
        <is>
          <t>Build package 57</t>
        </is>
      </c>
      <c r="F61" t="inlineStr">
        <is>
          <t>Construction</t>
        </is>
      </c>
      <c r="G61" t="inlineStr">
        <is>
          <t>Not Started</t>
        </is>
      </c>
      <c r="H61" s="110" t="n">
        <v>45623</v>
      </c>
      <c r="I61" s="110" t="n">
        <v>45627</v>
      </c>
      <c r="J61" t="n">
        <v>0</v>
      </c>
      <c r="K61" s="110" t="str">
        <f>IF('Tom Reid'!G29="","",'Tom Reid'!G29)</f>
        <v/>
      </c>
      <c r="L61" s="110" t="str">
        <f>IF('Tom Reid'!H29="","",'Tom Reid'!H29)</f>
        <v/>
      </c>
      <c r="M61" t="str">
        <f>IF('Tom Reid'!I29="","",'Tom Reid'!I29)</f>
        <v/>
      </c>
      <c r="N61" s="110" t="str">
        <f>IF('Tom Reid'!J29="","",'Tom Reid'!J29)</f>
        <v/>
      </c>
      <c r="O61">
        <f>IF('Tom Reid'!N29="","",'Tom Reid'!N29)</f>
        <v>0</v>
      </c>
      <c r="P61" t="str">
        <f>'Tom Reid'!O29</f>
        <v>Not changed yet</v>
      </c>
      <c r="Q61" t="str">
        <f>IF('Tom Reid'!L29="","",'Tom Reid'!L29)</f>
        <v/>
      </c>
      <c r="R61">
        <f>'Tom Reid'!X29</f>
        <v>0</v>
      </c>
      <c r="S61" t="str">
        <f>""</f>
        <v/>
      </c>
      <c r="T61">
        <f>IF(OR(Overview!$C$5="Everyone",A61=Overview!$C$5),1,0)</f>
        <v>1</v>
      </c>
      <c r="U61">
        <f>IF(AND(T61=1,CHOOSE(IFERROR(MATCH(Overview!$E$5,ShowList,0),1),TRUE,OR(P61="Reason needed",P61="Start date needed",P61="Finish date needed",P61="Date in the future"),R61=0,R61=1,AND(O61&lt;&gt;"",N(O61)&gt;0,L61=""),AND(S61="Yes",L61=""),K61="",AND(K61&lt;&gt;"",L61=""),L61&lt;&gt;""),OR(Overview!$G$5="",ISNUMBER(SEARCH(Overview!$G$5,D61&amp;" "&amp;E61&amp;" "&amp;F61)))),1,0)</f>
        <v>1</v>
      </c>
      <c r="V61">
        <f>V60+U61</f>
        <v>60</v>
      </c>
      <c r="W61" t="str">
        <f>IF('Tom Reid'!K29="","",'Tom Reid'!K29)</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Person</t>
        </is>
      </c>
      <c r="C1" t="inlineStr">
        <is>
          <t>Show</t>
        </is>
      </c>
      <c r="E1" t="inlineStr">
        <is>
          <t>Delay cause</t>
        </is>
      </c>
      <c r="G1" t="inlineStr">
        <is>
          <t>Where things stand</t>
        </is>
      </c>
      <c r="H1" t="inlineStr">
        <is>
          <t>Activities</t>
        </is>
      </c>
    </row>
    <row r="2">
      <c r="A2" t="inlineStr">
        <is>
          <t>Everyone</t>
        </is>
      </c>
      <c r="C2" t="inlineStr">
        <is>
          <t>All activities</t>
        </is>
      </c>
      <c r="E2" t="inlineStr">
        <is>
          <t>Design / information</t>
        </is>
      </c>
      <c r="G2" t="inlineStr">
        <is>
          <t>Need attention</t>
        </is>
      </c>
      <c r="H2">
        <f>COUNTIFS(Data!$T$2:$T$61,1,Data!$P$2:$P$61,"Reason needed")+COUNTIFS(Data!$T$2:$T$61,1,Data!$P$2:$P$61,"Start date needed")+COUNTIFS(Data!$T$2:$T$61,1,Data!$P$2:$P$61,"Finish date needed")+COUNTIFS(Data!$T$2:$T$61,1,Data!$P$2:$P$61,"Date in the future")+COUNTIFS(Data!$T$2:$T$61,1,Data!$P$2:$P$61,"Not a date")</f>
        <v>3</v>
      </c>
    </row>
    <row r="3">
      <c r="A3" t="inlineStr">
        <is>
          <t>Dan Lowe - Design Lead</t>
        </is>
      </c>
      <c r="C3" t="inlineStr">
        <is>
          <t>Needs attention</t>
        </is>
      </c>
      <c r="E3" t="inlineStr">
        <is>
          <t>Consents / permits</t>
        </is>
      </c>
      <c r="G3" t="inlineStr">
        <is>
          <t>Not changed yet</t>
        </is>
      </c>
      <c r="H3">
        <f>COUNTIFS(Data!$T$2:$T$61,1,Data!$P$2:$P$61,"Not changed yet")</f>
        <v>24</v>
      </c>
    </row>
    <row r="4">
      <c r="A4" t="inlineStr">
        <is>
          <t>Priya Menon - Project Manager</t>
        </is>
      </c>
      <c r="C4" t="inlineStr">
        <is>
          <t>Not updated yet</t>
        </is>
      </c>
      <c r="E4" t="inlineStr">
        <is>
          <t>Access / land</t>
        </is>
      </c>
      <c r="G4" t="inlineStr">
        <is>
          <t>Updated</t>
        </is>
      </c>
      <c r="H4">
        <f>COUNTIFS(Data!$T$2:$T$61,1,Data!$P$2:$P$61,"✓ Updated")</f>
        <v>0</v>
      </c>
    </row>
    <row r="5">
      <c r="A5" t="inlineStr">
        <is>
          <t>Sara Moss - Site Manager</t>
        </is>
      </c>
      <c r="C5" t="inlineStr">
        <is>
          <t>Updated</t>
        </is>
      </c>
      <c r="E5" t="inlineStr">
        <is>
          <t>Utilities / services</t>
        </is>
      </c>
      <c r="G5" t="inlineStr">
        <is>
          <t>Complete</t>
        </is>
      </c>
      <c r="H5">
        <f>COUNTIFS(Data!$T$2:$T$61,1,Data!$P$2:$P$61,"✓ Complete")</f>
        <v>33</v>
      </c>
    </row>
    <row r="6">
      <c r="A6" t="inlineStr">
        <is>
          <t>Tom Reid - Package Manager</t>
        </is>
      </c>
      <c r="C6" t="inlineStr">
        <is>
          <t>Finishing late</t>
        </is>
      </c>
      <c r="E6" t="inlineStr">
        <is>
          <t>Ground conditions</t>
        </is>
      </c>
    </row>
    <row r="7">
      <c r="C7" t="inlineStr">
        <is>
          <t>Critical, not finished</t>
        </is>
      </c>
      <c r="E7" t="inlineStr">
        <is>
          <t>Weather</t>
        </is>
      </c>
    </row>
    <row r="8">
      <c r="C8" t="inlineStr">
        <is>
          <t>Not started</t>
        </is>
      </c>
      <c r="E8" t="inlineStr">
        <is>
          <t>Labour / resources</t>
        </is>
      </c>
    </row>
    <row r="9">
      <c r="C9" t="inlineStr">
        <is>
          <t>In progress</t>
        </is>
      </c>
      <c r="E9" t="inlineStr">
        <is>
          <t>Plant / materials</t>
        </is>
      </c>
    </row>
    <row r="10">
      <c r="C10" t="inlineStr">
        <is>
          <t>Complete</t>
        </is>
      </c>
      <c r="E10" t="inlineStr">
        <is>
          <t>Supplier / subcontractor</t>
        </is>
      </c>
    </row>
    <row r="11">
      <c r="E11" t="inlineStr">
        <is>
          <t>Client / instruction</t>
        </is>
      </c>
    </row>
    <row r="12">
      <c r="E12" t="inlineStr">
        <is>
          <t>Interface / other works</t>
        </is>
      </c>
    </row>
    <row r="13">
      <c r="E13"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2026-10-23T23:15:36Z</dcterms:created>
  <dcterms:modified xmlns:dcterms="http://purl.org/dc/terms/" xmlns:xsi="http://www.w3.org/2001/XMLSchema-instance" xsi:type="dcterms:W3CDTF">2026-10-23T23:15:36Z</dcterms:modified>
</cp:coreProperties>
</file>